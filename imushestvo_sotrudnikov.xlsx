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16260" windowHeight="7440" activeTab="1"/>
  </bookViews>
  <sheets>
    <sheet name="Spravochnik" sheetId="1" r:id="rId1"/>
    <sheet name="Vydacha" sheetId="2" r:id="rId2"/>
    <sheet name="Svodka" sheetId="3" r:id="rId3"/>
    <sheet name="Vedomost" sheetId="4" r:id="rId4"/>
    <sheet name="Lists" sheetId="5" state="hidden" r:id="rId5"/>
  </sheets>
  <definedNames>
    <definedName name="CatList2">Lists!$A$1:$A$5</definedName>
    <definedName name="StatusVydList">Lists!$C$1:$C$4</definedName>
    <definedName name="_xlnm.Print_Titles" localSheetId="3">Vedomost!$1:$1</definedName>
  </definedNames>
  <calcPr calcId="145621"/>
</workbook>
</file>

<file path=xl/calcChain.xml><?xml version="1.0" encoding="utf-8"?>
<calcChain xmlns="http://schemas.openxmlformats.org/spreadsheetml/2006/main">
  <c r="G81" i="4" l="1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D2" i="4"/>
  <c r="C2" i="4"/>
  <c r="B2" i="4"/>
  <c r="A2" i="4"/>
  <c r="B13" i="3"/>
  <c r="B10" i="3"/>
  <c r="B9" i="3"/>
  <c r="B8" i="3"/>
  <c r="B7" i="3"/>
  <c r="B6" i="3"/>
  <c r="B5" i="3"/>
  <c r="B4" i="3"/>
  <c r="N81" i="2"/>
  <c r="M81" i="2"/>
  <c r="F81" i="2"/>
  <c r="E81" i="2"/>
  <c r="D81" i="2"/>
  <c r="C81" i="2"/>
  <c r="B81" i="2"/>
  <c r="N80" i="2"/>
  <c r="M80" i="2"/>
  <c r="F80" i="2"/>
  <c r="E80" i="2"/>
  <c r="D80" i="2"/>
  <c r="C80" i="2"/>
  <c r="B80" i="2"/>
  <c r="N79" i="2"/>
  <c r="M79" i="2"/>
  <c r="F79" i="2"/>
  <c r="E79" i="2"/>
  <c r="D79" i="2"/>
  <c r="C79" i="2"/>
  <c r="B79" i="2"/>
  <c r="N78" i="2"/>
  <c r="M78" i="2"/>
  <c r="F78" i="2"/>
  <c r="E78" i="2"/>
  <c r="D78" i="2"/>
  <c r="C78" i="2"/>
  <c r="B78" i="2"/>
  <c r="N77" i="2"/>
  <c r="M77" i="2"/>
  <c r="F77" i="2"/>
  <c r="E77" i="2"/>
  <c r="D77" i="2"/>
  <c r="C77" i="2"/>
  <c r="B77" i="2"/>
  <c r="N76" i="2"/>
  <c r="M76" i="2"/>
  <c r="F76" i="2"/>
  <c r="E76" i="2"/>
  <c r="D76" i="2"/>
  <c r="C76" i="2"/>
  <c r="B76" i="2"/>
  <c r="N75" i="2"/>
  <c r="M75" i="2"/>
  <c r="F75" i="2"/>
  <c r="E75" i="2"/>
  <c r="D75" i="2"/>
  <c r="C75" i="2"/>
  <c r="B75" i="2"/>
  <c r="N74" i="2"/>
  <c r="M74" i="2"/>
  <c r="F74" i="2"/>
  <c r="E74" i="2"/>
  <c r="D74" i="2"/>
  <c r="C74" i="2"/>
  <c r="B74" i="2"/>
  <c r="N73" i="2"/>
  <c r="M73" i="2"/>
  <c r="F73" i="2"/>
  <c r="E73" i="2"/>
  <c r="D73" i="2"/>
  <c r="C73" i="2"/>
  <c r="B73" i="2"/>
  <c r="N72" i="2"/>
  <c r="M72" i="2"/>
  <c r="F72" i="2"/>
  <c r="E72" i="2"/>
  <c r="D72" i="2"/>
  <c r="C72" i="2"/>
  <c r="B72" i="2"/>
  <c r="N71" i="2"/>
  <c r="M71" i="2"/>
  <c r="F71" i="2"/>
  <c r="E71" i="2"/>
  <c r="D71" i="2"/>
  <c r="C71" i="2"/>
  <c r="B71" i="2"/>
  <c r="N70" i="2"/>
  <c r="M70" i="2"/>
  <c r="F70" i="2"/>
  <c r="E70" i="2"/>
  <c r="D70" i="2"/>
  <c r="C70" i="2"/>
  <c r="B70" i="2"/>
  <c r="N69" i="2"/>
  <c r="M69" i="2"/>
  <c r="F69" i="2"/>
  <c r="E69" i="2"/>
  <c r="D69" i="2"/>
  <c r="C69" i="2"/>
  <c r="B69" i="2"/>
  <c r="N68" i="2"/>
  <c r="M68" i="2"/>
  <c r="F68" i="2"/>
  <c r="E68" i="2"/>
  <c r="D68" i="2"/>
  <c r="C68" i="2"/>
  <c r="B68" i="2"/>
  <c r="N67" i="2"/>
  <c r="M67" i="2"/>
  <c r="F67" i="2"/>
  <c r="E67" i="2"/>
  <c r="D67" i="2"/>
  <c r="C67" i="2"/>
  <c r="B67" i="2"/>
  <c r="N66" i="2"/>
  <c r="M66" i="2"/>
  <c r="F66" i="2"/>
  <c r="E66" i="2"/>
  <c r="D66" i="2"/>
  <c r="C66" i="2"/>
  <c r="B66" i="2"/>
  <c r="N65" i="2"/>
  <c r="M65" i="2"/>
  <c r="F65" i="2"/>
  <c r="E65" i="2"/>
  <c r="D65" i="2"/>
  <c r="C65" i="2"/>
  <c r="B65" i="2"/>
  <c r="N64" i="2"/>
  <c r="M64" i="2"/>
  <c r="F64" i="2"/>
  <c r="E64" i="2"/>
  <c r="D64" i="2"/>
  <c r="C64" i="2"/>
  <c r="B64" i="2"/>
  <c r="N63" i="2"/>
  <c r="M63" i="2"/>
  <c r="F63" i="2"/>
  <c r="E63" i="2"/>
  <c r="D63" i="2"/>
  <c r="C63" i="2"/>
  <c r="B63" i="2"/>
  <c r="N62" i="2"/>
  <c r="M62" i="2"/>
  <c r="F62" i="2"/>
  <c r="E62" i="2"/>
  <c r="D62" i="2"/>
  <c r="C62" i="2"/>
  <c r="B62" i="2"/>
  <c r="N61" i="2"/>
  <c r="M61" i="2"/>
  <c r="F61" i="2"/>
  <c r="E61" i="2"/>
  <c r="D61" i="2"/>
  <c r="C61" i="2"/>
  <c r="B61" i="2"/>
  <c r="N60" i="2"/>
  <c r="M60" i="2"/>
  <c r="F60" i="2"/>
  <c r="E60" i="2"/>
  <c r="D60" i="2"/>
  <c r="C60" i="2"/>
  <c r="B60" i="2"/>
  <c r="N59" i="2"/>
  <c r="M59" i="2"/>
  <c r="F59" i="2"/>
  <c r="E59" i="2"/>
  <c r="D59" i="2"/>
  <c r="C59" i="2"/>
  <c r="B59" i="2"/>
  <c r="N58" i="2"/>
  <c r="M58" i="2"/>
  <c r="F58" i="2"/>
  <c r="E58" i="2"/>
  <c r="D58" i="2"/>
  <c r="C58" i="2"/>
  <c r="B58" i="2"/>
  <c r="N57" i="2"/>
  <c r="M57" i="2"/>
  <c r="F57" i="2"/>
  <c r="E57" i="2"/>
  <c r="D57" i="2"/>
  <c r="C57" i="2"/>
  <c r="B57" i="2"/>
  <c r="N56" i="2"/>
  <c r="M56" i="2"/>
  <c r="F56" i="2"/>
  <c r="E56" i="2"/>
  <c r="D56" i="2"/>
  <c r="C56" i="2"/>
  <c r="B56" i="2"/>
  <c r="N55" i="2"/>
  <c r="M55" i="2"/>
  <c r="F55" i="2"/>
  <c r="E55" i="2"/>
  <c r="D55" i="2"/>
  <c r="C55" i="2"/>
  <c r="B55" i="2"/>
  <c r="N54" i="2"/>
  <c r="M54" i="2"/>
  <c r="F54" i="2"/>
  <c r="E54" i="2"/>
  <c r="D54" i="2"/>
  <c r="C54" i="2"/>
  <c r="B54" i="2"/>
  <c r="N53" i="2"/>
  <c r="M53" i="2"/>
  <c r="F53" i="2"/>
  <c r="E53" i="2"/>
  <c r="D53" i="2"/>
  <c r="C53" i="2"/>
  <c r="B53" i="2"/>
  <c r="N52" i="2"/>
  <c r="M52" i="2"/>
  <c r="F52" i="2"/>
  <c r="E52" i="2"/>
  <c r="D52" i="2"/>
  <c r="C52" i="2"/>
  <c r="B52" i="2"/>
  <c r="N51" i="2"/>
  <c r="M51" i="2"/>
  <c r="F51" i="2"/>
  <c r="E51" i="2"/>
  <c r="D51" i="2"/>
  <c r="C51" i="2"/>
  <c r="B51" i="2"/>
  <c r="N50" i="2"/>
  <c r="M50" i="2"/>
  <c r="F50" i="2"/>
  <c r="E50" i="2"/>
  <c r="D50" i="2"/>
  <c r="C50" i="2"/>
  <c r="B50" i="2"/>
  <c r="N49" i="2"/>
  <c r="M49" i="2"/>
  <c r="F49" i="2"/>
  <c r="E49" i="2"/>
  <c r="D49" i="2"/>
  <c r="C49" i="2"/>
  <c r="B49" i="2"/>
  <c r="N48" i="2"/>
  <c r="M48" i="2"/>
  <c r="F48" i="2"/>
  <c r="E48" i="2"/>
  <c r="D48" i="2"/>
  <c r="C48" i="2"/>
  <c r="B48" i="2"/>
  <c r="N47" i="2"/>
  <c r="M47" i="2"/>
  <c r="F47" i="2"/>
  <c r="E47" i="2"/>
  <c r="D47" i="2"/>
  <c r="C47" i="2"/>
  <c r="B47" i="2"/>
  <c r="N46" i="2"/>
  <c r="M46" i="2"/>
  <c r="F46" i="2"/>
  <c r="E46" i="2"/>
  <c r="D46" i="2"/>
  <c r="C46" i="2"/>
  <c r="B46" i="2"/>
  <c r="N45" i="2"/>
  <c r="M45" i="2"/>
  <c r="F45" i="2"/>
  <c r="E45" i="2"/>
  <c r="D45" i="2"/>
  <c r="C45" i="2"/>
  <c r="B45" i="2"/>
  <c r="N44" i="2"/>
  <c r="M44" i="2"/>
  <c r="F44" i="2"/>
  <c r="E44" i="2"/>
  <c r="D44" i="2"/>
  <c r="C44" i="2"/>
  <c r="B44" i="2"/>
  <c r="N43" i="2"/>
  <c r="M43" i="2"/>
  <c r="F43" i="2"/>
  <c r="E43" i="2"/>
  <c r="D43" i="2"/>
  <c r="C43" i="2"/>
  <c r="B43" i="2"/>
  <c r="N42" i="2"/>
  <c r="M42" i="2"/>
  <c r="F42" i="2"/>
  <c r="E42" i="2"/>
  <c r="D42" i="2"/>
  <c r="C42" i="2"/>
  <c r="B42" i="2"/>
  <c r="N41" i="2"/>
  <c r="M41" i="2"/>
  <c r="F41" i="2"/>
  <c r="E41" i="2"/>
  <c r="D41" i="2"/>
  <c r="C41" i="2"/>
  <c r="B41" i="2"/>
  <c r="N40" i="2"/>
  <c r="M40" i="2"/>
  <c r="F40" i="2"/>
  <c r="E40" i="2"/>
  <c r="D40" i="2"/>
  <c r="C40" i="2"/>
  <c r="B40" i="2"/>
  <c r="N39" i="2"/>
  <c r="M39" i="2"/>
  <c r="F39" i="2"/>
  <c r="E39" i="2"/>
  <c r="D39" i="2"/>
  <c r="C39" i="2"/>
  <c r="B39" i="2"/>
  <c r="N38" i="2"/>
  <c r="M38" i="2"/>
  <c r="F38" i="2"/>
  <c r="E38" i="2"/>
  <c r="D38" i="2"/>
  <c r="C38" i="2"/>
  <c r="B38" i="2"/>
  <c r="N37" i="2"/>
  <c r="M37" i="2"/>
  <c r="F37" i="2"/>
  <c r="E37" i="2"/>
  <c r="D37" i="2"/>
  <c r="C37" i="2"/>
  <c r="B37" i="2"/>
  <c r="N36" i="2"/>
  <c r="M36" i="2"/>
  <c r="F36" i="2"/>
  <c r="E36" i="2"/>
  <c r="D36" i="2"/>
  <c r="C36" i="2"/>
  <c r="B36" i="2"/>
  <c r="N35" i="2"/>
  <c r="M35" i="2"/>
  <c r="F35" i="2"/>
  <c r="E35" i="2"/>
  <c r="D35" i="2"/>
  <c r="C35" i="2"/>
  <c r="B35" i="2"/>
  <c r="N34" i="2"/>
  <c r="M34" i="2"/>
  <c r="F34" i="2"/>
  <c r="E34" i="2"/>
  <c r="D34" i="2"/>
  <c r="C34" i="2"/>
  <c r="B34" i="2"/>
  <c r="N33" i="2"/>
  <c r="M33" i="2"/>
  <c r="F33" i="2"/>
  <c r="E33" i="2"/>
  <c r="D33" i="2"/>
  <c r="C33" i="2"/>
  <c r="B33" i="2"/>
  <c r="N32" i="2"/>
  <c r="M32" i="2"/>
  <c r="F32" i="2"/>
  <c r="E32" i="2"/>
  <c r="D32" i="2"/>
  <c r="C32" i="2"/>
  <c r="B32" i="2"/>
  <c r="N31" i="2"/>
  <c r="M31" i="2"/>
  <c r="F31" i="2"/>
  <c r="E31" i="2"/>
  <c r="D31" i="2"/>
  <c r="C31" i="2"/>
  <c r="B31" i="2"/>
  <c r="N30" i="2"/>
  <c r="M30" i="2"/>
  <c r="F30" i="2"/>
  <c r="E30" i="2"/>
  <c r="D30" i="2"/>
  <c r="C30" i="2"/>
  <c r="B30" i="2"/>
  <c r="N29" i="2"/>
  <c r="M29" i="2"/>
  <c r="F29" i="2"/>
  <c r="E29" i="2"/>
  <c r="D29" i="2"/>
  <c r="C29" i="2"/>
  <c r="B29" i="2"/>
  <c r="N28" i="2"/>
  <c r="M28" i="2"/>
  <c r="F28" i="2"/>
  <c r="E28" i="2"/>
  <c r="D28" i="2"/>
  <c r="C28" i="2"/>
  <c r="B28" i="2"/>
  <c r="N27" i="2"/>
  <c r="M27" i="2"/>
  <c r="F27" i="2"/>
  <c r="E27" i="2"/>
  <c r="D27" i="2"/>
  <c r="C27" i="2"/>
  <c r="B27" i="2"/>
  <c r="N26" i="2"/>
  <c r="M26" i="2"/>
  <c r="F26" i="2"/>
  <c r="E26" i="2"/>
  <c r="D26" i="2"/>
  <c r="C26" i="2"/>
  <c r="B26" i="2"/>
  <c r="N25" i="2"/>
  <c r="M25" i="2"/>
  <c r="F25" i="2"/>
  <c r="E25" i="2"/>
  <c r="D25" i="2"/>
  <c r="C25" i="2"/>
  <c r="B25" i="2"/>
  <c r="N24" i="2"/>
  <c r="M24" i="2"/>
  <c r="F24" i="2"/>
  <c r="E24" i="2"/>
  <c r="D24" i="2"/>
  <c r="C24" i="2"/>
  <c r="B24" i="2"/>
  <c r="N23" i="2"/>
  <c r="M23" i="2"/>
  <c r="F23" i="2"/>
  <c r="E23" i="2"/>
  <c r="D23" i="2"/>
  <c r="C23" i="2"/>
  <c r="B23" i="2"/>
  <c r="N22" i="2"/>
  <c r="M22" i="2"/>
  <c r="F22" i="2"/>
  <c r="E22" i="2"/>
  <c r="D22" i="2"/>
  <c r="C22" i="2"/>
  <c r="B22" i="2"/>
  <c r="N21" i="2"/>
  <c r="M21" i="2"/>
  <c r="F21" i="2"/>
  <c r="E21" i="2"/>
  <c r="D21" i="2"/>
  <c r="C21" i="2"/>
  <c r="B21" i="2"/>
  <c r="N20" i="2"/>
  <c r="M20" i="2"/>
  <c r="F20" i="2"/>
  <c r="E20" i="2"/>
  <c r="D20" i="2"/>
  <c r="C20" i="2"/>
  <c r="B20" i="2"/>
  <c r="N19" i="2"/>
  <c r="M19" i="2"/>
  <c r="F19" i="2"/>
  <c r="E19" i="2"/>
  <c r="D19" i="2"/>
  <c r="C19" i="2"/>
  <c r="B19" i="2"/>
  <c r="N18" i="2"/>
  <c r="M18" i="2"/>
  <c r="F18" i="2"/>
  <c r="E18" i="2"/>
  <c r="D18" i="2"/>
  <c r="C18" i="2"/>
  <c r="B18" i="2"/>
  <c r="N17" i="2"/>
  <c r="M17" i="2"/>
  <c r="F17" i="2"/>
  <c r="E17" i="2"/>
  <c r="D17" i="2"/>
  <c r="C17" i="2"/>
  <c r="B17" i="2"/>
  <c r="N16" i="2"/>
  <c r="M16" i="2"/>
  <c r="F16" i="2"/>
  <c r="E16" i="2"/>
  <c r="D16" i="2"/>
  <c r="C16" i="2"/>
  <c r="B16" i="2"/>
  <c r="N15" i="2"/>
  <c r="M15" i="2"/>
  <c r="F15" i="2"/>
  <c r="E15" i="2"/>
  <c r="D15" i="2"/>
  <c r="C15" i="2"/>
  <c r="B15" i="2"/>
  <c r="N14" i="2"/>
  <c r="M14" i="2"/>
  <c r="F14" i="2"/>
  <c r="E14" i="2"/>
  <c r="D14" i="2"/>
  <c r="C14" i="2"/>
  <c r="B14" i="2"/>
  <c r="N13" i="2"/>
  <c r="M13" i="2"/>
  <c r="F13" i="2"/>
  <c r="E13" i="2"/>
  <c r="D13" i="2"/>
  <c r="C13" i="2"/>
  <c r="B13" i="2"/>
  <c r="N12" i="2"/>
  <c r="M12" i="2"/>
  <c r="F12" i="2"/>
  <c r="E12" i="2"/>
  <c r="D12" i="2"/>
  <c r="C12" i="2"/>
  <c r="B12" i="2"/>
  <c r="N11" i="2"/>
  <c r="M11" i="2"/>
  <c r="F11" i="2"/>
  <c r="E11" i="2"/>
  <c r="D11" i="2"/>
  <c r="C11" i="2"/>
  <c r="B11" i="2"/>
  <c r="N10" i="2"/>
  <c r="M10" i="2"/>
  <c r="F10" i="2"/>
  <c r="E10" i="2"/>
  <c r="D10" i="2"/>
  <c r="C10" i="2"/>
  <c r="B10" i="2"/>
  <c r="N9" i="2"/>
  <c r="M9" i="2"/>
  <c r="F9" i="2"/>
  <c r="E9" i="2"/>
  <c r="D9" i="2"/>
  <c r="C9" i="2"/>
  <c r="B9" i="2"/>
  <c r="N8" i="2"/>
  <c r="M8" i="2"/>
  <c r="F8" i="2"/>
  <c r="E8" i="2"/>
  <c r="D8" i="2"/>
  <c r="C8" i="2"/>
  <c r="B8" i="2"/>
  <c r="N7" i="2"/>
  <c r="M7" i="2"/>
  <c r="F7" i="2"/>
  <c r="E7" i="2"/>
  <c r="D7" i="2"/>
  <c r="C7" i="2"/>
  <c r="B7" i="2"/>
  <c r="N6" i="2"/>
  <c r="M6" i="2"/>
  <c r="F6" i="2"/>
  <c r="E6" i="2"/>
  <c r="D6" i="2"/>
  <c r="C6" i="2"/>
  <c r="B6" i="2"/>
  <c r="N5" i="2"/>
  <c r="M5" i="2"/>
  <c r="F5" i="2"/>
  <c r="E5" i="2"/>
  <c r="D5" i="2"/>
  <c r="C5" i="2"/>
  <c r="B5" i="2"/>
  <c r="N4" i="2"/>
  <c r="M4" i="2"/>
  <c r="F4" i="2"/>
  <c r="E4" i="2"/>
  <c r="D4" i="2"/>
  <c r="C4" i="2"/>
  <c r="B4" i="2"/>
  <c r="N3" i="2"/>
  <c r="M3" i="2"/>
  <c r="F3" i="2"/>
  <c r="E3" i="2"/>
  <c r="D3" i="2"/>
  <c r="C3" i="2"/>
  <c r="B3" i="2"/>
  <c r="N2" i="2"/>
  <c r="M2" i="2"/>
  <c r="F2" i="2"/>
  <c r="E2" i="2"/>
  <c r="D2" i="2"/>
  <c r="C2" i="2"/>
  <c r="B2" i="2"/>
  <c r="B12" i="3" l="1"/>
</calcChain>
</file>

<file path=xl/sharedStrings.xml><?xml version="1.0" encoding="utf-8"?>
<sst xmlns="http://schemas.openxmlformats.org/spreadsheetml/2006/main" count="193" uniqueCount="121">
  <si>
    <t>Техника</t>
  </si>
  <si>
    <t>Спецодежда</t>
  </si>
  <si>
    <t>Обувь</t>
  </si>
  <si>
    <t>СИЗ</t>
  </si>
  <si>
    <t>Другое</t>
  </si>
  <si>
    <t>Выдано</t>
  </si>
  <si>
    <t>Возвращено</t>
  </si>
  <si>
    <t>Списано</t>
  </si>
  <si>
    <t>На замену</t>
  </si>
  <si>
    <t>ФИО</t>
  </si>
  <si>
    <t>Табельный номер</t>
  </si>
  <si>
    <t>Подразделение</t>
  </si>
  <si>
    <t>Должность</t>
  </si>
  <si>
    <t>Размер одежды</t>
  </si>
  <si>
    <t>Размер обуви</t>
  </si>
  <si>
    <t>Рост, см</t>
  </si>
  <si>
    <t>Контакты</t>
  </si>
  <si>
    <t>Иванова Анна Петровна</t>
  </si>
  <si>
    <t>ТН-001</t>
  </si>
  <si>
    <t>Бухгалтерия</t>
  </si>
  <si>
    <t>Главный бухгалтер</t>
  </si>
  <si>
    <t>+7-900-100-01-01</t>
  </si>
  <si>
    <t>Петров Сергей Иванович</t>
  </si>
  <si>
    <t>ТН-002</t>
  </si>
  <si>
    <t>IT-отдел</t>
  </si>
  <si>
    <t>Системный администратор</t>
  </si>
  <si>
    <t>+7-900-100-01-02</t>
  </si>
  <si>
    <t>Сидорова Ольга Викторовна</t>
  </si>
  <si>
    <t>ТН-003</t>
  </si>
  <si>
    <t>Отдел продаж</t>
  </si>
  <si>
    <t>Менеджер по продажам</t>
  </si>
  <si>
    <t>+7-900-100-01-03</t>
  </si>
  <si>
    <t>Кузнецов Дмитрий Александрович</t>
  </si>
  <si>
    <t>ТН-004</t>
  </si>
  <si>
    <t>+7-900-100-01-04</t>
  </si>
  <si>
    <t>Смирнов Виктор Валерьевич</t>
  </si>
  <si>
    <t>ТН-005</t>
  </si>
  <si>
    <t>Логистика</t>
  </si>
  <si>
    <t>Водитель</t>
  </si>
  <si>
    <t>+7-900-100-01-05</t>
  </si>
  <si>
    <t>Волкова Елена Николаевна</t>
  </si>
  <si>
    <t>ТН-006</t>
  </si>
  <si>
    <t>Хозотдел</t>
  </si>
  <si>
    <t>Завхоз</t>
  </si>
  <si>
    <t>+7-900-100-01-06</t>
  </si>
  <si>
    <t>Никитин Павел Романович</t>
  </si>
  <si>
    <t>ТН-007</t>
  </si>
  <si>
    <t>Программист</t>
  </si>
  <si>
    <t>+7-900-100-01-07</t>
  </si>
  <si>
    <t>Морозова Ирина Сергеевна</t>
  </si>
  <si>
    <t>ТН-008</t>
  </si>
  <si>
    <t>Офис-менеджмент</t>
  </si>
  <si>
    <t>Офис-менеджер</t>
  </si>
  <si>
    <t>+7-900-100-01-08</t>
  </si>
  <si>
    <t>Егорова Наталья Михайловна</t>
  </si>
  <si>
    <t>ТН-009</t>
  </si>
  <si>
    <t>Ресепшн</t>
  </si>
  <si>
    <t>Администратор</t>
  </si>
  <si>
    <t>+7-900-100-01-09</t>
  </si>
  <si>
    <t>Соколов Артём Юрьевич</t>
  </si>
  <si>
    <t>ТН-010</t>
  </si>
  <si>
    <t>Склад</t>
  </si>
  <si>
    <t>Кладовщик</t>
  </si>
  <si>
    <t>+7-900-100-01-10</t>
  </si>
  <si>
    <t>Козлова Мария Дмитриевна</t>
  </si>
  <si>
    <t>ТН-011</t>
  </si>
  <si>
    <t>Бухгалтер</t>
  </si>
  <si>
    <t>+7-900-100-01-11</t>
  </si>
  <si>
    <t>Новиков Андрей Олегович</t>
  </si>
  <si>
    <t>ТН-012</t>
  </si>
  <si>
    <t>Разнорабочий</t>
  </si>
  <si>
    <t>+7-900-100-01-12</t>
  </si>
  <si>
    <t>Фёдорова Светлана Игоревна</t>
  </si>
  <si>
    <t>ТН-013</t>
  </si>
  <si>
    <t>+7-900-100-01-13</t>
  </si>
  <si>
    <t>Захаров Игорь Валентинович</t>
  </si>
  <si>
    <t>ТН-014</t>
  </si>
  <si>
    <t>Грузчик</t>
  </si>
  <si>
    <t>+7-900-100-01-14</t>
  </si>
  <si>
    <t>Белова Татьяна Андреевна</t>
  </si>
  <si>
    <t>ТН-015</t>
  </si>
  <si>
    <t>Кассир</t>
  </si>
  <si>
    <t>+7-900-100-01-15</t>
  </si>
  <si>
    <t>Категория</t>
  </si>
  <si>
    <t>Наименование</t>
  </si>
  <si>
    <t>Инв. номер / Размер</t>
  </si>
  <si>
    <t>Количество</t>
  </si>
  <si>
    <t>Дата выдачи</t>
  </si>
  <si>
    <t>Срок носки, мес.</t>
  </si>
  <si>
    <t>Дата плановой замены</t>
  </si>
  <si>
    <t>Статус срока</t>
  </si>
  <si>
    <t>Статус выдачи</t>
  </si>
  <si>
    <t>Ноутбук Dell Latitude</t>
  </si>
  <si>
    <t>ИНВ-Т-001</t>
  </si>
  <si>
    <t>Куртка утеплённая</t>
  </si>
  <si>
    <t>Ботинки рабочие</t>
  </si>
  <si>
    <t>Каска защитная</t>
  </si>
  <si>
    <t>Халат рабочий</t>
  </si>
  <si>
    <t>Монитор Samsung</t>
  </si>
  <si>
    <t>ИНВ-Т-002</t>
  </si>
  <si>
    <t>Канцелярский набор</t>
  </si>
  <si>
    <t>-</t>
  </si>
  <si>
    <t>Туфли офисные</t>
  </si>
  <si>
    <t>Перчатки защитные</t>
  </si>
  <si>
    <t>Жилет сигнальный</t>
  </si>
  <si>
    <t>Сапоги рабочие</t>
  </si>
  <si>
    <t>Клавиатура</t>
  </si>
  <si>
    <t>ИНВ-Т-003</t>
  </si>
  <si>
    <t>Респиратор</t>
  </si>
  <si>
    <t>Костюм рабочий</t>
  </si>
  <si>
    <t>Бейдж</t>
  </si>
  <si>
    <t>Сводка по имуществу сотрудников</t>
  </si>
  <si>
    <t>Показатель</t>
  </si>
  <si>
    <t>Значение</t>
  </si>
  <si>
    <t>Число сотрудников</t>
  </si>
  <si>
    <t>Итого позиций выдачи</t>
  </si>
  <si>
    <t>Позиций "Пора менять"</t>
  </si>
  <si>
    <t>Позиций "На замену" (статус выдачи)</t>
  </si>
  <si>
    <t>№</t>
  </si>
  <si>
    <t>Размер / Инв. номер</t>
  </si>
  <si>
    <t>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</si>
</sst>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14" fontId="3" fillId="0" borderId="1" xfId="0" applyNumberFormat="1" applyFont="1" applyBorder="1"/>
    <xf numFmtId="0" fontId="0" fillId="0" borderId="0" xfId="0"/>
    <xf numFmtId="0" fontId="4" fillId="0" borderId="0" xfId="0" applyFont="1"/>
    <xf numFmtId="0" fontId="1" fillId="3" borderId="1" xfId="0" applyFont="1" applyFill="1" applyBorder="1"/>
  </cellXfs>
  <cellStyles count="1">
    <cellStyle name="Обычный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1F497D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0.77734375" customWidth="1"/>
    <col min="2" max="2" width="14.77734375" customWidth="1"/>
    <col min="3" max="3" width="18.77734375" customWidth="1"/>
    <col min="4" max="4" width="26.77734375" customWidth="1"/>
    <col min="5" max="6" width="14.77734375" customWidth="1"/>
    <col min="7" max="7" width="10.77734375" customWidth="1"/>
    <col min="8" max="8" width="18.77734375" customWidth="1"/>
  </cols>
  <sheetData>
    <row r="1" spans="1:8" ht="25.9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 s="2" t="s">
        <v>17</v>
      </c>
      <c r="B2" s="2" t="s">
        <v>18</v>
      </c>
      <c r="C2" s="2" t="s">
        <v>19</v>
      </c>
      <c r="D2" s="2" t="s">
        <v>20</v>
      </c>
      <c r="E2" s="2">
        <v>46</v>
      </c>
      <c r="F2" s="2">
        <v>38</v>
      </c>
      <c r="G2" s="2">
        <v>165</v>
      </c>
      <c r="H2" s="2" t="s">
        <v>21</v>
      </c>
    </row>
    <row r="3" spans="1:8" x14ac:dyDescent="0.3">
      <c r="A3" s="2" t="s">
        <v>22</v>
      </c>
      <c r="B3" s="2" t="s">
        <v>23</v>
      </c>
      <c r="C3" s="2" t="s">
        <v>24</v>
      </c>
      <c r="D3" s="2" t="s">
        <v>25</v>
      </c>
      <c r="E3" s="2">
        <v>50</v>
      </c>
      <c r="F3" s="2">
        <v>43</v>
      </c>
      <c r="G3" s="2">
        <v>180</v>
      </c>
      <c r="H3" s="2" t="s">
        <v>26</v>
      </c>
    </row>
    <row r="4" spans="1:8" x14ac:dyDescent="0.3">
      <c r="A4" s="2" t="s">
        <v>27</v>
      </c>
      <c r="B4" s="2" t="s">
        <v>28</v>
      </c>
      <c r="C4" s="2" t="s">
        <v>29</v>
      </c>
      <c r="D4" s="2" t="s">
        <v>30</v>
      </c>
      <c r="E4" s="2">
        <v>44</v>
      </c>
      <c r="F4" s="2">
        <v>37</v>
      </c>
      <c r="G4" s="2">
        <v>168</v>
      </c>
      <c r="H4" s="2" t="s">
        <v>31</v>
      </c>
    </row>
    <row r="5" spans="1:8" x14ac:dyDescent="0.3">
      <c r="A5" s="2" t="s">
        <v>32</v>
      </c>
      <c r="B5" s="2" t="s">
        <v>33</v>
      </c>
      <c r="C5" s="2" t="s">
        <v>29</v>
      </c>
      <c r="D5" s="2" t="s">
        <v>30</v>
      </c>
      <c r="E5" s="2">
        <v>52</v>
      </c>
      <c r="F5" s="2">
        <v>44</v>
      </c>
      <c r="G5" s="2">
        <v>182</v>
      </c>
      <c r="H5" s="2" t="s">
        <v>34</v>
      </c>
    </row>
    <row r="6" spans="1:8" x14ac:dyDescent="0.3">
      <c r="A6" s="2" t="s">
        <v>35</v>
      </c>
      <c r="B6" s="2" t="s">
        <v>36</v>
      </c>
      <c r="C6" s="2" t="s">
        <v>37</v>
      </c>
      <c r="D6" s="2" t="s">
        <v>38</v>
      </c>
      <c r="E6" s="2">
        <v>54</v>
      </c>
      <c r="F6" s="2">
        <v>45</v>
      </c>
      <c r="G6" s="2">
        <v>178</v>
      </c>
      <c r="H6" s="2" t="s">
        <v>39</v>
      </c>
    </row>
    <row r="7" spans="1:8" x14ac:dyDescent="0.3">
      <c r="A7" s="2" t="s">
        <v>40</v>
      </c>
      <c r="B7" s="2" t="s">
        <v>41</v>
      </c>
      <c r="C7" s="2" t="s">
        <v>42</v>
      </c>
      <c r="D7" s="2" t="s">
        <v>43</v>
      </c>
      <c r="E7" s="2">
        <v>48</v>
      </c>
      <c r="F7" s="2">
        <v>39</v>
      </c>
      <c r="G7" s="2">
        <v>170</v>
      </c>
      <c r="H7" s="2" t="s">
        <v>44</v>
      </c>
    </row>
    <row r="8" spans="1:8" x14ac:dyDescent="0.3">
      <c r="A8" s="2" t="s">
        <v>45</v>
      </c>
      <c r="B8" s="2" t="s">
        <v>46</v>
      </c>
      <c r="C8" s="2" t="s">
        <v>24</v>
      </c>
      <c r="D8" s="2" t="s">
        <v>47</v>
      </c>
      <c r="E8" s="2">
        <v>50</v>
      </c>
      <c r="F8" s="2">
        <v>42</v>
      </c>
      <c r="G8" s="2">
        <v>176</v>
      </c>
      <c r="H8" s="2" t="s">
        <v>48</v>
      </c>
    </row>
    <row r="9" spans="1:8" x14ac:dyDescent="0.3">
      <c r="A9" s="2" t="s">
        <v>49</v>
      </c>
      <c r="B9" s="2" t="s">
        <v>50</v>
      </c>
      <c r="C9" s="2" t="s">
        <v>51</v>
      </c>
      <c r="D9" s="2" t="s">
        <v>52</v>
      </c>
      <c r="E9" s="2">
        <v>42</v>
      </c>
      <c r="F9" s="2">
        <v>36</v>
      </c>
      <c r="G9" s="2">
        <v>162</v>
      </c>
      <c r="H9" s="2" t="s">
        <v>53</v>
      </c>
    </row>
    <row r="10" spans="1:8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>
        <v>44</v>
      </c>
      <c r="F10" s="2">
        <v>37</v>
      </c>
      <c r="G10" s="2">
        <v>165</v>
      </c>
      <c r="H10" s="2" t="s">
        <v>58</v>
      </c>
    </row>
    <row r="11" spans="1:8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>
        <v>54</v>
      </c>
      <c r="F11" s="2">
        <v>45</v>
      </c>
      <c r="G11" s="2">
        <v>184</v>
      </c>
      <c r="H11" s="2" t="s">
        <v>63</v>
      </c>
    </row>
    <row r="12" spans="1:8" x14ac:dyDescent="0.3">
      <c r="A12" s="2" t="s">
        <v>64</v>
      </c>
      <c r="B12" s="2" t="s">
        <v>65</v>
      </c>
      <c r="C12" s="2" t="s">
        <v>19</v>
      </c>
      <c r="D12" s="2" t="s">
        <v>66</v>
      </c>
      <c r="E12" s="2">
        <v>46</v>
      </c>
      <c r="F12" s="2">
        <v>38</v>
      </c>
      <c r="G12" s="2">
        <v>167</v>
      </c>
      <c r="H12" s="2" t="s">
        <v>67</v>
      </c>
    </row>
    <row r="13" spans="1:8" x14ac:dyDescent="0.3">
      <c r="A13" s="2" t="s">
        <v>68</v>
      </c>
      <c r="B13" s="2" t="s">
        <v>69</v>
      </c>
      <c r="C13" s="2" t="s">
        <v>42</v>
      </c>
      <c r="D13" s="2" t="s">
        <v>70</v>
      </c>
      <c r="E13" s="2">
        <v>52</v>
      </c>
      <c r="F13" s="2">
        <v>43</v>
      </c>
      <c r="G13" s="2">
        <v>179</v>
      </c>
      <c r="H13" s="2" t="s">
        <v>71</v>
      </c>
    </row>
    <row r="14" spans="1:8" x14ac:dyDescent="0.3">
      <c r="A14" s="2" t="s">
        <v>72</v>
      </c>
      <c r="B14" s="2" t="s">
        <v>73</v>
      </c>
      <c r="C14" s="2" t="s">
        <v>29</v>
      </c>
      <c r="D14" s="2" t="s">
        <v>30</v>
      </c>
      <c r="E14" s="2">
        <v>44</v>
      </c>
      <c r="F14" s="2">
        <v>37</v>
      </c>
      <c r="G14" s="2">
        <v>164</v>
      </c>
      <c r="H14" s="2" t="s">
        <v>74</v>
      </c>
    </row>
    <row r="15" spans="1:8" x14ac:dyDescent="0.3">
      <c r="A15" s="2" t="s">
        <v>75</v>
      </c>
      <c r="B15" s="2" t="s">
        <v>76</v>
      </c>
      <c r="C15" s="2" t="s">
        <v>61</v>
      </c>
      <c r="D15" s="2" t="s">
        <v>77</v>
      </c>
      <c r="E15" s="2">
        <v>54</v>
      </c>
      <c r="F15" s="2">
        <v>44</v>
      </c>
      <c r="G15" s="2">
        <v>183</v>
      </c>
      <c r="H15" s="2" t="s">
        <v>78</v>
      </c>
    </row>
    <row r="16" spans="1:8" x14ac:dyDescent="0.3">
      <c r="A16" s="2" t="s">
        <v>79</v>
      </c>
      <c r="B16" s="2" t="s">
        <v>80</v>
      </c>
      <c r="C16" s="2" t="s">
        <v>19</v>
      </c>
      <c r="D16" s="2" t="s">
        <v>81</v>
      </c>
      <c r="E16" s="2">
        <v>44</v>
      </c>
      <c r="F16" s="2">
        <v>37</v>
      </c>
      <c r="G16" s="2">
        <v>166</v>
      </c>
      <c r="H16" s="2" t="s">
        <v>82</v>
      </c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26.77734375" customWidth="1"/>
    <col min="2" max="2" width="14.77734375" customWidth="1"/>
    <col min="3" max="3" width="16.77734375" customWidth="1"/>
    <col min="4" max="4" width="22.77734375" customWidth="1"/>
    <col min="5" max="7" width="13.77734375" customWidth="1"/>
    <col min="8" max="8" width="24.77734375" customWidth="1"/>
    <col min="9" max="9" width="16.77734375" customWidth="1"/>
    <col min="10" max="10" width="11.77734375" customWidth="1"/>
    <col min="11" max="11" width="14.77734375" customWidth="1"/>
    <col min="12" max="12" width="13.77734375" customWidth="1"/>
    <col min="13" max="13" width="15.77734375" customWidth="1"/>
    <col min="14" max="15" width="13.77734375" customWidth="1"/>
  </cols>
  <sheetData>
    <row r="1" spans="1:15" ht="31.9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</row>
    <row r="2" spans="1:15" x14ac:dyDescent="0.3">
      <c r="A2" s="2" t="s">
        <v>17</v>
      </c>
      <c r="B2" s="2" t="str">
        <f>IF($A2="","",IFERROR(VLOOKUP($A2,Spravochnik!$A$2:$H$61,2,0),""))</f>
        <v>ТН-001</v>
      </c>
      <c r="C2" s="2" t="str">
        <f>IF($A2="","",IFERROR(VLOOKUP($A2,Spravochnik!$A$2:$H$61,3,0),""))</f>
        <v>Бухгалтерия</v>
      </c>
      <c r="D2" s="2" t="str">
        <f>IF($A2="","",IFERROR(VLOOKUP($A2,Spravochnik!$A$2:$H$61,4,0),""))</f>
        <v>Главный бухгалтер</v>
      </c>
      <c r="E2" s="2">
        <f>IF($A2="","",IFERROR(VLOOKUP($A2,Spravochnik!$A$2:$H$61,5,0),""))</f>
        <v>46</v>
      </c>
      <c r="F2" s="2">
        <f>IF($A2="","",IFERROR(VLOOKUP($A2,Spravochnik!$A$2:$H$61,6,0),""))</f>
        <v>38</v>
      </c>
      <c r="G2" s="2" t="s">
        <v>0</v>
      </c>
      <c r="H2" s="2" t="s">
        <v>92</v>
      </c>
      <c r="I2" s="2" t="s">
        <v>93</v>
      </c>
      <c r="J2" s="3">
        <v>1</v>
      </c>
      <c r="K2" s="4">
        <v>45306</v>
      </c>
      <c r="L2" s="3">
        <v>36</v>
      </c>
      <c r="M2" s="4">
        <f>IF(OR($K2="",$L2="",$L2=0),"",EDATE($K2,$L2))</f>
        <v>46402</v>
      </c>
      <c r="N2" s="2" t="str">
        <f ca="1">IF($M2="","",IF(TODAY()&gt;=$M2,"Пора менять","ОК"))</f>
        <v>ОК</v>
      </c>
      <c r="O2" s="2" t="s">
        <v>5</v>
      </c>
    </row>
    <row r="3" spans="1:15" x14ac:dyDescent="0.3">
      <c r="A3" s="2" t="s">
        <v>22</v>
      </c>
      <c r="B3" s="2" t="str">
        <f>IF($A3="","",IFERROR(VLOOKUP($A3,Spravochnik!$A$2:$H$61,2,0),""))</f>
        <v>ТН-002</v>
      </c>
      <c r="C3" s="2" t="str">
        <f>IF($A3="","",IFERROR(VLOOKUP($A3,Spravochnik!$A$2:$H$61,3,0),""))</f>
        <v>IT-отдел</v>
      </c>
      <c r="D3" s="2" t="str">
        <f>IF($A3="","",IFERROR(VLOOKUP($A3,Spravochnik!$A$2:$H$61,4,0),""))</f>
        <v>Системный администратор</v>
      </c>
      <c r="E3" s="2">
        <f>IF($A3="","",IFERROR(VLOOKUP($A3,Spravochnik!$A$2:$H$61,5,0),""))</f>
        <v>50</v>
      </c>
      <c r="F3" s="2">
        <f>IF($A3="","",IFERROR(VLOOKUP($A3,Spravochnik!$A$2:$H$61,6,0),""))</f>
        <v>43</v>
      </c>
      <c r="G3" s="2" t="s">
        <v>1</v>
      </c>
      <c r="H3" s="2" t="s">
        <v>94</v>
      </c>
      <c r="I3" s="2">
        <v>50</v>
      </c>
      <c r="J3" s="3">
        <v>1</v>
      </c>
      <c r="K3" s="4">
        <v>45200</v>
      </c>
      <c r="L3" s="3">
        <v>24</v>
      </c>
      <c r="M3" s="4">
        <f>IF(OR($K3="",$L3="",$L3=0),"",EDATE($K3,$L3))</f>
        <v>45931</v>
      </c>
      <c r="N3" s="2" t="str">
        <f ca="1">IF($M3="","",IF(TODAY()&gt;=$M3,"Пора менять","ОК"))</f>
        <v>Пора менять</v>
      </c>
      <c r="O3" s="2" t="s">
        <v>5</v>
      </c>
    </row>
    <row r="4" spans="1:15" x14ac:dyDescent="0.3">
      <c r="A4" s="2" t="s">
        <v>35</v>
      </c>
      <c r="B4" s="2" t="str">
        <f>IF($A4="","",IFERROR(VLOOKUP($A4,Spravochnik!$A$2:$H$61,2,0),""))</f>
        <v>ТН-005</v>
      </c>
      <c r="C4" s="2" t="str">
        <f>IF($A4="","",IFERROR(VLOOKUP($A4,Spravochnik!$A$2:$H$61,3,0),""))</f>
        <v>Логистика</v>
      </c>
      <c r="D4" s="2" t="str">
        <f>IF($A4="","",IFERROR(VLOOKUP($A4,Spravochnik!$A$2:$H$61,4,0),""))</f>
        <v>Водитель</v>
      </c>
      <c r="E4" s="2">
        <f>IF($A4="","",IFERROR(VLOOKUP($A4,Spravochnik!$A$2:$H$61,5,0),""))</f>
        <v>54</v>
      </c>
      <c r="F4" s="2">
        <f>IF($A4="","",IFERROR(VLOOKUP($A4,Spravochnik!$A$2:$H$61,6,0),""))</f>
        <v>45</v>
      </c>
      <c r="G4" s="2" t="s">
        <v>2</v>
      </c>
      <c r="H4" s="2" t="s">
        <v>95</v>
      </c>
      <c r="I4" s="2">
        <v>45</v>
      </c>
      <c r="J4" s="3">
        <v>1</v>
      </c>
      <c r="K4" s="4">
        <v>45170</v>
      </c>
      <c r="L4" s="3">
        <v>12</v>
      </c>
      <c r="M4" s="4">
        <f>IF(OR($K4="",$L4="",$L4=0),"",EDATE($K4,$L4))</f>
        <v>45536</v>
      </c>
      <c r="N4" s="2" t="str">
        <f ca="1">IF($M4="","",IF(TODAY()&gt;=$M4,"Пора менять","ОК"))</f>
        <v>Пора менять</v>
      </c>
      <c r="O4" s="2" t="s">
        <v>5</v>
      </c>
    </row>
    <row r="5" spans="1:15" x14ac:dyDescent="0.3">
      <c r="A5" s="2" t="s">
        <v>59</v>
      </c>
      <c r="B5" s="2" t="str">
        <f>IF($A5="","",IFERROR(VLOOKUP($A5,Spravochnik!$A$2:$H$61,2,0),""))</f>
        <v>ТН-010</v>
      </c>
      <c r="C5" s="2" t="str">
        <f>IF($A5="","",IFERROR(VLOOKUP($A5,Spravochnik!$A$2:$H$61,3,0),""))</f>
        <v>Склад</v>
      </c>
      <c r="D5" s="2" t="str">
        <f>IF($A5="","",IFERROR(VLOOKUP($A5,Spravochnik!$A$2:$H$61,4,0),""))</f>
        <v>Кладовщик</v>
      </c>
      <c r="E5" s="2">
        <f>IF($A5="","",IFERROR(VLOOKUP($A5,Spravochnik!$A$2:$H$61,5,0),""))</f>
        <v>54</v>
      </c>
      <c r="F5" s="2">
        <f>IF($A5="","",IFERROR(VLOOKUP($A5,Spravochnik!$A$2:$H$61,6,0),""))</f>
        <v>45</v>
      </c>
      <c r="G5" s="2" t="s">
        <v>3</v>
      </c>
      <c r="H5" s="2" t="s">
        <v>96</v>
      </c>
      <c r="I5" s="2">
        <v>45</v>
      </c>
      <c r="J5" s="3">
        <v>1</v>
      </c>
      <c r="K5" s="4">
        <v>45047</v>
      </c>
      <c r="L5" s="3">
        <v>24</v>
      </c>
      <c r="M5" s="4">
        <f>IF(OR($K5="",$L5="",$L5=0),"",EDATE($K5,$L5))</f>
        <v>45778</v>
      </c>
      <c r="N5" s="2" t="str">
        <f ca="1">IF($M5="","",IF(TODAY()&gt;=$M5,"Пора менять","ОК"))</f>
        <v>Пора менять</v>
      </c>
      <c r="O5" s="2" t="s">
        <v>8</v>
      </c>
    </row>
    <row r="6" spans="1:15" x14ac:dyDescent="0.3">
      <c r="A6" s="2" t="s">
        <v>40</v>
      </c>
      <c r="B6" s="2" t="str">
        <f>IF($A6="","",IFERROR(VLOOKUP($A6,Spravochnik!$A$2:$H$61,2,0),""))</f>
        <v>ТН-006</v>
      </c>
      <c r="C6" s="2" t="str">
        <f>IF($A6="","",IFERROR(VLOOKUP($A6,Spravochnik!$A$2:$H$61,3,0),""))</f>
        <v>Хозотдел</v>
      </c>
      <c r="D6" s="2" t="str">
        <f>IF($A6="","",IFERROR(VLOOKUP($A6,Spravochnik!$A$2:$H$61,4,0),""))</f>
        <v>Завхоз</v>
      </c>
      <c r="E6" s="2">
        <f>IF($A6="","",IFERROR(VLOOKUP($A6,Spravochnik!$A$2:$H$61,5,0),""))</f>
        <v>48</v>
      </c>
      <c r="F6" s="2">
        <f>IF($A6="","",IFERROR(VLOOKUP($A6,Spravochnik!$A$2:$H$61,6,0),""))</f>
        <v>39</v>
      </c>
      <c r="G6" s="2" t="s">
        <v>1</v>
      </c>
      <c r="H6" s="2" t="s">
        <v>97</v>
      </c>
      <c r="I6" s="2">
        <v>48</v>
      </c>
      <c r="J6" s="3">
        <v>2</v>
      </c>
      <c r="K6" s="4">
        <v>45444</v>
      </c>
      <c r="L6" s="3">
        <v>12</v>
      </c>
      <c r="M6" s="4">
        <f>IF(OR($K6="",$L6="",$L6=0),"",EDATE($K6,$L6))</f>
        <v>45809</v>
      </c>
      <c r="N6" s="2" t="str">
        <f ca="1">IF($M6="","",IF(TODAY()&gt;=$M6,"Пора менять","ОК"))</f>
        <v>Пора менять</v>
      </c>
      <c r="O6" s="2" t="s">
        <v>8</v>
      </c>
    </row>
    <row r="7" spans="1:15" x14ac:dyDescent="0.3">
      <c r="A7" s="2" t="s">
        <v>45</v>
      </c>
      <c r="B7" s="2" t="str">
        <f>IF($A7="","",IFERROR(VLOOKUP($A7,Spravochnik!$A$2:$H$61,2,0),""))</f>
        <v>ТН-007</v>
      </c>
      <c r="C7" s="2" t="str">
        <f>IF($A7="","",IFERROR(VLOOKUP($A7,Spravochnik!$A$2:$H$61,3,0),""))</f>
        <v>IT-отдел</v>
      </c>
      <c r="D7" s="2" t="str">
        <f>IF($A7="","",IFERROR(VLOOKUP($A7,Spravochnik!$A$2:$H$61,4,0),""))</f>
        <v>Программист</v>
      </c>
      <c r="E7" s="2">
        <f>IF($A7="","",IFERROR(VLOOKUP($A7,Spravochnik!$A$2:$H$61,5,0),""))</f>
        <v>50</v>
      </c>
      <c r="F7" s="2">
        <f>IF($A7="","",IFERROR(VLOOKUP($A7,Spravochnik!$A$2:$H$61,6,0),""))</f>
        <v>42</v>
      </c>
      <c r="G7" s="2" t="s">
        <v>0</v>
      </c>
      <c r="H7" s="2" t="s">
        <v>98</v>
      </c>
      <c r="I7" s="2" t="s">
        <v>99</v>
      </c>
      <c r="J7" s="3">
        <v>1</v>
      </c>
      <c r="K7" s="4">
        <v>45241</v>
      </c>
      <c r="L7" s="3">
        <v>60</v>
      </c>
      <c r="M7" s="4">
        <f>IF(OR($K7="",$L7="",$L7=0),"",EDATE($K7,$L7))</f>
        <v>47068</v>
      </c>
      <c r="N7" s="2" t="str">
        <f ca="1">IF($M7="","",IF(TODAY()&gt;=$M7,"Пора менять","ОК"))</f>
        <v>ОК</v>
      </c>
      <c r="O7" s="2" t="s">
        <v>5</v>
      </c>
    </row>
    <row r="8" spans="1:15" x14ac:dyDescent="0.3">
      <c r="A8" s="2" t="s">
        <v>49</v>
      </c>
      <c r="B8" s="2" t="str">
        <f>IF($A8="","",IFERROR(VLOOKUP($A8,Spravochnik!$A$2:$H$61,2,0),""))</f>
        <v>ТН-008</v>
      </c>
      <c r="C8" s="2" t="str">
        <f>IF($A8="","",IFERROR(VLOOKUP($A8,Spravochnik!$A$2:$H$61,3,0),""))</f>
        <v>Офис-менеджмент</v>
      </c>
      <c r="D8" s="2" t="str">
        <f>IF($A8="","",IFERROR(VLOOKUP($A8,Spravochnik!$A$2:$H$61,4,0),""))</f>
        <v>Офис-менеджер</v>
      </c>
      <c r="E8" s="2">
        <f>IF($A8="","",IFERROR(VLOOKUP($A8,Spravochnik!$A$2:$H$61,5,0),""))</f>
        <v>42</v>
      </c>
      <c r="F8" s="2">
        <f>IF($A8="","",IFERROR(VLOOKUP($A8,Spravochnik!$A$2:$H$61,6,0),""))</f>
        <v>36</v>
      </c>
      <c r="G8" s="2" t="s">
        <v>4</v>
      </c>
      <c r="H8" s="2" t="s">
        <v>100</v>
      </c>
      <c r="I8" s="2" t="s">
        <v>101</v>
      </c>
      <c r="J8" s="3">
        <v>1</v>
      </c>
      <c r="K8" s="4">
        <v>45667</v>
      </c>
      <c r="L8" s="3">
        <v>0</v>
      </c>
      <c r="M8" s="4" t="str">
        <f>IF(OR($K8="",$L8="",$L8=0),"",EDATE($K8,$L8))</f>
        <v/>
      </c>
      <c r="N8" s="2" t="str">
        <f ca="1">IF($M8="","",IF(TODAY()&gt;=$M8,"Пора менять","ОК"))</f>
        <v/>
      </c>
      <c r="O8" s="2" t="s">
        <v>5</v>
      </c>
    </row>
    <row r="9" spans="1:15" x14ac:dyDescent="0.3">
      <c r="A9" s="2" t="s">
        <v>64</v>
      </c>
      <c r="B9" s="2" t="str">
        <f>IF($A9="","",IFERROR(VLOOKUP($A9,Spravochnik!$A$2:$H$61,2,0),""))</f>
        <v>ТН-011</v>
      </c>
      <c r="C9" s="2" t="str">
        <f>IF($A9="","",IFERROR(VLOOKUP($A9,Spravochnik!$A$2:$H$61,3,0),""))</f>
        <v>Бухгалтерия</v>
      </c>
      <c r="D9" s="2" t="str">
        <f>IF($A9="","",IFERROR(VLOOKUP($A9,Spravochnik!$A$2:$H$61,4,0),""))</f>
        <v>Бухгалтер</v>
      </c>
      <c r="E9" s="2">
        <f>IF($A9="","",IFERROR(VLOOKUP($A9,Spravochnik!$A$2:$H$61,5,0),""))</f>
        <v>46</v>
      </c>
      <c r="F9" s="2">
        <f>IF($A9="","",IFERROR(VLOOKUP($A9,Spravochnik!$A$2:$H$61,6,0),""))</f>
        <v>38</v>
      </c>
      <c r="G9" s="2" t="s">
        <v>2</v>
      </c>
      <c r="H9" s="2" t="s">
        <v>102</v>
      </c>
      <c r="I9" s="2">
        <v>38</v>
      </c>
      <c r="J9" s="3">
        <v>1</v>
      </c>
      <c r="K9" s="4">
        <v>45352</v>
      </c>
      <c r="L9" s="3">
        <v>18</v>
      </c>
      <c r="M9" s="4">
        <f>IF(OR($K9="",$L9="",$L9=0),"",EDATE($K9,$L9))</f>
        <v>45901</v>
      </c>
      <c r="N9" s="2" t="str">
        <f ca="1">IF($M9="","",IF(TODAY()&gt;=$M9,"Пора менять","ОК"))</f>
        <v>Пора менять</v>
      </c>
      <c r="O9" s="2" t="s">
        <v>6</v>
      </c>
    </row>
    <row r="10" spans="1:15" x14ac:dyDescent="0.3">
      <c r="A10" s="2" t="s">
        <v>68</v>
      </c>
      <c r="B10" s="2" t="str">
        <f>IF($A10="","",IFERROR(VLOOKUP($A10,Spravochnik!$A$2:$H$61,2,0),""))</f>
        <v>ТН-012</v>
      </c>
      <c r="C10" s="2" t="str">
        <f>IF($A10="","",IFERROR(VLOOKUP($A10,Spravochnik!$A$2:$H$61,3,0),""))</f>
        <v>Хозотдел</v>
      </c>
      <c r="D10" s="2" t="str">
        <f>IF($A10="","",IFERROR(VLOOKUP($A10,Spravochnik!$A$2:$H$61,4,0),""))</f>
        <v>Разнорабочий</v>
      </c>
      <c r="E10" s="2">
        <f>IF($A10="","",IFERROR(VLOOKUP($A10,Spravochnik!$A$2:$H$61,5,0),""))</f>
        <v>52</v>
      </c>
      <c r="F10" s="2">
        <f>IF($A10="","",IFERROR(VLOOKUP($A10,Spravochnik!$A$2:$H$61,6,0),""))</f>
        <v>43</v>
      </c>
      <c r="G10" s="2" t="s">
        <v>3</v>
      </c>
      <c r="H10" s="2" t="s">
        <v>103</v>
      </c>
      <c r="I10" s="2">
        <v>52</v>
      </c>
      <c r="J10" s="3">
        <v>5</v>
      </c>
      <c r="K10" s="4">
        <v>45809</v>
      </c>
      <c r="L10" s="3">
        <v>6</v>
      </c>
      <c r="M10" s="4">
        <f>IF(OR($K10="",$L10="",$L10=0),"",EDATE($K10,$L10))</f>
        <v>45992</v>
      </c>
      <c r="N10" s="2" t="str">
        <f ca="1">IF($M10="","",IF(TODAY()&gt;=$M10,"Пора менять","ОК"))</f>
        <v>Пора менять</v>
      </c>
      <c r="O10" s="2" t="s">
        <v>8</v>
      </c>
    </row>
    <row r="11" spans="1:15" x14ac:dyDescent="0.3">
      <c r="A11" s="2" t="s">
        <v>72</v>
      </c>
      <c r="B11" s="2" t="str">
        <f>IF($A11="","",IFERROR(VLOOKUP($A11,Spravochnik!$A$2:$H$61,2,0),""))</f>
        <v>ТН-013</v>
      </c>
      <c r="C11" s="2" t="str">
        <f>IF($A11="","",IFERROR(VLOOKUP($A11,Spravochnik!$A$2:$H$61,3,0),""))</f>
        <v>Отдел продаж</v>
      </c>
      <c r="D11" s="2" t="str">
        <f>IF($A11="","",IFERROR(VLOOKUP($A11,Spravochnik!$A$2:$H$61,4,0),""))</f>
        <v>Менеджер по продажам</v>
      </c>
      <c r="E11" s="2">
        <f>IF($A11="","",IFERROR(VLOOKUP($A11,Spravochnik!$A$2:$H$61,5,0),""))</f>
        <v>44</v>
      </c>
      <c r="F11" s="2">
        <f>IF($A11="","",IFERROR(VLOOKUP($A11,Spravochnik!$A$2:$H$61,6,0),""))</f>
        <v>37</v>
      </c>
      <c r="G11" s="2" t="s">
        <v>1</v>
      </c>
      <c r="H11" s="2" t="s">
        <v>104</v>
      </c>
      <c r="I11" s="2">
        <v>44</v>
      </c>
      <c r="J11" s="3">
        <v>1</v>
      </c>
      <c r="K11" s="4">
        <v>45762</v>
      </c>
      <c r="L11" s="3">
        <v>12</v>
      </c>
      <c r="M11" s="4">
        <f>IF(OR($K11="",$L11="",$L11=0),"",EDATE($K11,$L11))</f>
        <v>46127</v>
      </c>
      <c r="N11" s="2" t="str">
        <f ca="1">IF($M11="","",IF(TODAY()&gt;=$M11,"Пора менять","ОК"))</f>
        <v>Пора менять</v>
      </c>
      <c r="O11" s="2" t="s">
        <v>8</v>
      </c>
    </row>
    <row r="12" spans="1:15" x14ac:dyDescent="0.3">
      <c r="A12" s="2" t="s">
        <v>75</v>
      </c>
      <c r="B12" s="2" t="str">
        <f>IF($A12="","",IFERROR(VLOOKUP($A12,Spravochnik!$A$2:$H$61,2,0),""))</f>
        <v>ТН-014</v>
      </c>
      <c r="C12" s="2" t="str">
        <f>IF($A12="","",IFERROR(VLOOKUP($A12,Spravochnik!$A$2:$H$61,3,0),""))</f>
        <v>Склад</v>
      </c>
      <c r="D12" s="2" t="str">
        <f>IF($A12="","",IFERROR(VLOOKUP($A12,Spravochnik!$A$2:$H$61,4,0),""))</f>
        <v>Грузчик</v>
      </c>
      <c r="E12" s="2">
        <f>IF($A12="","",IFERROR(VLOOKUP($A12,Spravochnik!$A$2:$H$61,5,0),""))</f>
        <v>54</v>
      </c>
      <c r="F12" s="2">
        <f>IF($A12="","",IFERROR(VLOOKUP($A12,Spravochnik!$A$2:$H$61,6,0),""))</f>
        <v>44</v>
      </c>
      <c r="G12" s="2" t="s">
        <v>2</v>
      </c>
      <c r="H12" s="2" t="s">
        <v>105</v>
      </c>
      <c r="I12" s="2">
        <v>44</v>
      </c>
      <c r="J12" s="3">
        <v>1</v>
      </c>
      <c r="K12" s="4">
        <v>45962</v>
      </c>
      <c r="L12" s="3">
        <v>12</v>
      </c>
      <c r="M12" s="4">
        <f>IF(OR($K12="",$L12="",$L12=0),"",EDATE($K12,$L12))</f>
        <v>46327</v>
      </c>
      <c r="N12" s="2" t="str">
        <f ca="1">IF($M12="","",IF(TODAY()&gt;=$M12,"Пора менять","ОК"))</f>
        <v>ОК</v>
      </c>
      <c r="O12" s="2" t="s">
        <v>5</v>
      </c>
    </row>
    <row r="13" spans="1:15" x14ac:dyDescent="0.3">
      <c r="A13" s="2" t="s">
        <v>79</v>
      </c>
      <c r="B13" s="2" t="str">
        <f>IF($A13="","",IFERROR(VLOOKUP($A13,Spravochnik!$A$2:$H$61,2,0),""))</f>
        <v>ТН-015</v>
      </c>
      <c r="C13" s="2" t="str">
        <f>IF($A13="","",IFERROR(VLOOKUP($A13,Spravochnik!$A$2:$H$61,3,0),""))</f>
        <v>Бухгалтерия</v>
      </c>
      <c r="D13" s="2" t="str">
        <f>IF($A13="","",IFERROR(VLOOKUP($A13,Spravochnik!$A$2:$H$61,4,0),""))</f>
        <v>Кассир</v>
      </c>
      <c r="E13" s="2">
        <f>IF($A13="","",IFERROR(VLOOKUP($A13,Spravochnik!$A$2:$H$61,5,0),""))</f>
        <v>44</v>
      </c>
      <c r="F13" s="2">
        <f>IF($A13="","",IFERROR(VLOOKUP($A13,Spravochnik!$A$2:$H$61,6,0),""))</f>
        <v>37</v>
      </c>
      <c r="G13" s="2" t="s">
        <v>0</v>
      </c>
      <c r="H13" s="2" t="s">
        <v>106</v>
      </c>
      <c r="I13" s="2" t="s">
        <v>107</v>
      </c>
      <c r="J13" s="3">
        <v>1</v>
      </c>
      <c r="K13" s="4">
        <v>45524</v>
      </c>
      <c r="L13" s="3">
        <v>48</v>
      </c>
      <c r="M13" s="4">
        <f>IF(OR($K13="",$L13="",$L13=0),"",EDATE($K13,$L13))</f>
        <v>46985</v>
      </c>
      <c r="N13" s="2" t="str">
        <f ca="1">IF($M13="","",IF(TODAY()&gt;=$M13,"Пора менять","ОК"))</f>
        <v>ОК</v>
      </c>
      <c r="O13" s="2" t="s">
        <v>5</v>
      </c>
    </row>
    <row r="14" spans="1:15" x14ac:dyDescent="0.3">
      <c r="A14" s="2" t="s">
        <v>17</v>
      </c>
      <c r="B14" s="2" t="str">
        <f>IF($A14="","",IFERROR(VLOOKUP($A14,Spravochnik!$A$2:$H$61,2,0),""))</f>
        <v>ТН-001</v>
      </c>
      <c r="C14" s="2" t="str">
        <f>IF($A14="","",IFERROR(VLOOKUP($A14,Spravochnik!$A$2:$H$61,3,0),""))</f>
        <v>Бухгалтерия</v>
      </c>
      <c r="D14" s="2" t="str">
        <f>IF($A14="","",IFERROR(VLOOKUP($A14,Spravochnik!$A$2:$H$61,4,0),""))</f>
        <v>Главный бухгалтер</v>
      </c>
      <c r="E14" s="2">
        <f>IF($A14="","",IFERROR(VLOOKUP($A14,Spravochnik!$A$2:$H$61,5,0),""))</f>
        <v>46</v>
      </c>
      <c r="F14" s="2">
        <f>IF($A14="","",IFERROR(VLOOKUP($A14,Spravochnik!$A$2:$H$61,6,0),""))</f>
        <v>38</v>
      </c>
      <c r="G14" s="2" t="s">
        <v>3</v>
      </c>
      <c r="H14" s="2" t="s">
        <v>108</v>
      </c>
      <c r="I14" s="2" t="s">
        <v>101</v>
      </c>
      <c r="J14" s="3">
        <v>3</v>
      </c>
      <c r="K14" s="4">
        <v>46054</v>
      </c>
      <c r="L14" s="3">
        <v>6</v>
      </c>
      <c r="M14" s="4">
        <f>IF(OR($K14="",$L14="",$L14=0),"",EDATE($K14,$L14))</f>
        <v>46235</v>
      </c>
      <c r="N14" s="2" t="str">
        <f ca="1">IF($M14="","",IF(TODAY()&gt;=$M14,"Пора менять","ОК"))</f>
        <v>ОК</v>
      </c>
      <c r="O14" s="2" t="s">
        <v>5</v>
      </c>
    </row>
    <row r="15" spans="1:15" x14ac:dyDescent="0.3">
      <c r="A15" s="2" t="s">
        <v>32</v>
      </c>
      <c r="B15" s="2" t="str">
        <f>IF($A15="","",IFERROR(VLOOKUP($A15,Spravochnik!$A$2:$H$61,2,0),""))</f>
        <v>ТН-004</v>
      </c>
      <c r="C15" s="2" t="str">
        <f>IF($A15="","",IFERROR(VLOOKUP($A15,Spravochnik!$A$2:$H$61,3,0),""))</f>
        <v>Отдел продаж</v>
      </c>
      <c r="D15" s="2" t="str">
        <f>IF($A15="","",IFERROR(VLOOKUP($A15,Spravochnik!$A$2:$H$61,4,0),""))</f>
        <v>Менеджер по продажам</v>
      </c>
      <c r="E15" s="2">
        <f>IF($A15="","",IFERROR(VLOOKUP($A15,Spravochnik!$A$2:$H$61,5,0),""))</f>
        <v>52</v>
      </c>
      <c r="F15" s="2">
        <f>IF($A15="","",IFERROR(VLOOKUP($A15,Spravochnik!$A$2:$H$61,6,0),""))</f>
        <v>44</v>
      </c>
      <c r="G15" s="2" t="s">
        <v>1</v>
      </c>
      <c r="H15" s="2" t="s">
        <v>109</v>
      </c>
      <c r="I15" s="2">
        <v>52</v>
      </c>
      <c r="J15" s="3">
        <v>1</v>
      </c>
      <c r="K15" s="4">
        <v>44682</v>
      </c>
      <c r="L15" s="3">
        <v>24</v>
      </c>
      <c r="M15" s="4">
        <f>IF(OR($K15="",$L15="",$L15=0),"",EDATE($K15,$L15))</f>
        <v>45413</v>
      </c>
      <c r="N15" s="2" t="str">
        <f ca="1">IF($M15="","",IF(TODAY()&gt;=$M15,"Пора менять","ОК"))</f>
        <v>Пора менять</v>
      </c>
      <c r="O15" s="2" t="s">
        <v>8</v>
      </c>
    </row>
    <row r="16" spans="1:15" x14ac:dyDescent="0.3">
      <c r="A16" s="2" t="s">
        <v>54</v>
      </c>
      <c r="B16" s="2" t="str">
        <f>IF($A16="","",IFERROR(VLOOKUP($A16,Spravochnik!$A$2:$H$61,2,0),""))</f>
        <v>ТН-009</v>
      </c>
      <c r="C16" s="2" t="str">
        <f>IF($A16="","",IFERROR(VLOOKUP($A16,Spravochnik!$A$2:$H$61,3,0),""))</f>
        <v>Ресепшн</v>
      </c>
      <c r="D16" s="2" t="str">
        <f>IF($A16="","",IFERROR(VLOOKUP($A16,Spravochnik!$A$2:$H$61,4,0),""))</f>
        <v>Администратор</v>
      </c>
      <c r="E16" s="2">
        <f>IF($A16="","",IFERROR(VLOOKUP($A16,Spravochnik!$A$2:$H$61,5,0),""))</f>
        <v>44</v>
      </c>
      <c r="F16" s="2">
        <f>IF($A16="","",IFERROR(VLOOKUP($A16,Spravochnik!$A$2:$H$61,6,0),""))</f>
        <v>37</v>
      </c>
      <c r="G16" s="2" t="s">
        <v>4</v>
      </c>
      <c r="H16" s="2" t="s">
        <v>110</v>
      </c>
      <c r="I16" s="2" t="s">
        <v>101</v>
      </c>
      <c r="J16" s="3">
        <v>1</v>
      </c>
      <c r="K16" s="4">
        <v>45658</v>
      </c>
      <c r="L16" s="3">
        <v>0</v>
      </c>
      <c r="M16" s="4" t="str">
        <f>IF(OR($K16="",$L16="",$L16=0),"",EDATE($K16,$L16))</f>
        <v/>
      </c>
      <c r="N16" s="2" t="str">
        <f ca="1">IF($M16="","",IF(TODAY()&gt;=$M16,"Пора менять","ОК"))</f>
        <v/>
      </c>
      <c r="O16" s="2" t="s">
        <v>7</v>
      </c>
    </row>
    <row r="17" spans="1:15" x14ac:dyDescent="0.3">
      <c r="A17" s="2"/>
      <c r="B17" s="2" t="str">
        <f>IF($A17="","",IFERROR(VLOOKUP($A17,Spravochnik!$A$2:$H$61,2,0),""))</f>
        <v/>
      </c>
      <c r="C17" s="2" t="str">
        <f>IF($A17="","",IFERROR(VLOOKUP($A17,Spravochnik!$A$2:$H$61,3,0),""))</f>
        <v/>
      </c>
      <c r="D17" s="2" t="str">
        <f>IF($A17="","",IFERROR(VLOOKUP($A17,Spravochnik!$A$2:$H$61,4,0),""))</f>
        <v/>
      </c>
      <c r="E17" s="2" t="str">
        <f>IF($A17="","",IFERROR(VLOOKUP($A17,Spravochnik!$A$2:$H$61,5,0),""))</f>
        <v/>
      </c>
      <c r="F17" s="2" t="str">
        <f>IF($A17="","",IFERROR(VLOOKUP($A17,Spravochnik!$A$2:$H$61,6,0),""))</f>
        <v/>
      </c>
      <c r="G17" s="2"/>
      <c r="H17" s="2"/>
      <c r="I17" s="2"/>
      <c r="J17" s="3"/>
      <c r="K17" s="2"/>
      <c r="L17" s="3"/>
      <c r="M17" s="4" t="str">
        <f>IF(OR($K17="",$L17="",$L17=0),"",EDATE($K17,$L17))</f>
        <v/>
      </c>
      <c r="N17" s="2" t="str">
        <f ca="1">IF($M17="","",IF(TODAY()&gt;=$M17,"Пора менять","ОК"))</f>
        <v/>
      </c>
      <c r="O17" s="2"/>
    </row>
    <row r="18" spans="1:15" x14ac:dyDescent="0.3">
      <c r="A18" s="2"/>
      <c r="B18" s="2" t="str">
        <f>IF($A18="","",IFERROR(VLOOKUP($A18,Spravochnik!$A$2:$H$61,2,0),""))</f>
        <v/>
      </c>
      <c r="C18" s="2" t="str">
        <f>IF($A18="","",IFERROR(VLOOKUP($A18,Spravochnik!$A$2:$H$61,3,0),""))</f>
        <v/>
      </c>
      <c r="D18" s="2" t="str">
        <f>IF($A18="","",IFERROR(VLOOKUP($A18,Spravochnik!$A$2:$H$61,4,0),""))</f>
        <v/>
      </c>
      <c r="E18" s="2" t="str">
        <f>IF($A18="","",IFERROR(VLOOKUP($A18,Spravochnik!$A$2:$H$61,5,0),""))</f>
        <v/>
      </c>
      <c r="F18" s="2" t="str">
        <f>IF($A18="","",IFERROR(VLOOKUP($A18,Spravochnik!$A$2:$H$61,6,0),""))</f>
        <v/>
      </c>
      <c r="G18" s="2"/>
      <c r="H18" s="2"/>
      <c r="I18" s="2"/>
      <c r="J18" s="3"/>
      <c r="K18" s="2"/>
      <c r="L18" s="3"/>
      <c r="M18" s="4" t="str">
        <f>IF(OR($K18="",$L18="",$L18=0),"",EDATE($K18,$L18))</f>
        <v/>
      </c>
      <c r="N18" s="2" t="str">
        <f ca="1">IF($M18="","",IF(TODAY()&gt;=$M18,"Пора менять","ОК"))</f>
        <v/>
      </c>
      <c r="O18" s="2"/>
    </row>
    <row r="19" spans="1:15" x14ac:dyDescent="0.3">
      <c r="A19" s="2"/>
      <c r="B19" s="2" t="str">
        <f>IF($A19="","",IFERROR(VLOOKUP($A19,Spravochnik!$A$2:$H$61,2,0),""))</f>
        <v/>
      </c>
      <c r="C19" s="2" t="str">
        <f>IF($A19="","",IFERROR(VLOOKUP($A19,Spravochnik!$A$2:$H$61,3,0),""))</f>
        <v/>
      </c>
      <c r="D19" s="2" t="str">
        <f>IF($A19="","",IFERROR(VLOOKUP($A19,Spravochnik!$A$2:$H$61,4,0),""))</f>
        <v/>
      </c>
      <c r="E19" s="2" t="str">
        <f>IF($A19="","",IFERROR(VLOOKUP($A19,Spravochnik!$A$2:$H$61,5,0),""))</f>
        <v/>
      </c>
      <c r="F19" s="2" t="str">
        <f>IF($A19="","",IFERROR(VLOOKUP($A19,Spravochnik!$A$2:$H$61,6,0),""))</f>
        <v/>
      </c>
      <c r="G19" s="2"/>
      <c r="H19" s="2"/>
      <c r="I19" s="2"/>
      <c r="J19" s="3"/>
      <c r="K19" s="2"/>
      <c r="L19" s="3"/>
      <c r="M19" s="4" t="str">
        <f>IF(OR($K19="",$L19="",$L19=0),"",EDATE($K19,$L19))</f>
        <v/>
      </c>
      <c r="N19" s="2" t="str">
        <f ca="1">IF($M19="","",IF(TODAY()&gt;=$M19,"Пора менять","ОК"))</f>
        <v/>
      </c>
      <c r="O19" s="2"/>
    </row>
    <row r="20" spans="1:15" x14ac:dyDescent="0.3">
      <c r="A20" s="2"/>
      <c r="B20" s="2" t="str">
        <f>IF($A20="","",IFERROR(VLOOKUP($A20,Spravochnik!$A$2:$H$61,2,0),""))</f>
        <v/>
      </c>
      <c r="C20" s="2" t="str">
        <f>IF($A20="","",IFERROR(VLOOKUP($A20,Spravochnik!$A$2:$H$61,3,0),""))</f>
        <v/>
      </c>
      <c r="D20" s="2" t="str">
        <f>IF($A20="","",IFERROR(VLOOKUP($A20,Spravochnik!$A$2:$H$61,4,0),""))</f>
        <v/>
      </c>
      <c r="E20" s="2" t="str">
        <f>IF($A20="","",IFERROR(VLOOKUP($A20,Spravochnik!$A$2:$H$61,5,0),""))</f>
        <v/>
      </c>
      <c r="F20" s="2" t="str">
        <f>IF($A20="","",IFERROR(VLOOKUP($A20,Spravochnik!$A$2:$H$61,6,0),""))</f>
        <v/>
      </c>
      <c r="G20" s="2"/>
      <c r="H20" s="2"/>
      <c r="I20" s="2"/>
      <c r="J20" s="3"/>
      <c r="K20" s="2"/>
      <c r="L20" s="3"/>
      <c r="M20" s="4" t="str">
        <f>IF(OR($K20="",$L20="",$L20=0),"",EDATE($K20,$L20))</f>
        <v/>
      </c>
      <c r="N20" s="2" t="str">
        <f ca="1">IF($M20="","",IF(TODAY()&gt;=$M20,"Пора менять","ОК"))</f>
        <v/>
      </c>
      <c r="O20" s="2"/>
    </row>
    <row r="21" spans="1:15" x14ac:dyDescent="0.3">
      <c r="A21" s="2"/>
      <c r="B21" s="2" t="str">
        <f>IF($A21="","",IFERROR(VLOOKUP($A21,Spravochnik!$A$2:$H$61,2,0),""))</f>
        <v/>
      </c>
      <c r="C21" s="2" t="str">
        <f>IF($A21="","",IFERROR(VLOOKUP($A21,Spravochnik!$A$2:$H$61,3,0),""))</f>
        <v/>
      </c>
      <c r="D21" s="2" t="str">
        <f>IF($A21="","",IFERROR(VLOOKUP($A21,Spravochnik!$A$2:$H$61,4,0),""))</f>
        <v/>
      </c>
      <c r="E21" s="2" t="str">
        <f>IF($A21="","",IFERROR(VLOOKUP($A21,Spravochnik!$A$2:$H$61,5,0),""))</f>
        <v/>
      </c>
      <c r="F21" s="2" t="str">
        <f>IF($A21="","",IFERROR(VLOOKUP($A21,Spravochnik!$A$2:$H$61,6,0),""))</f>
        <v/>
      </c>
      <c r="G21" s="2"/>
      <c r="H21" s="2"/>
      <c r="I21" s="2"/>
      <c r="J21" s="3"/>
      <c r="K21" s="2"/>
      <c r="L21" s="3"/>
      <c r="M21" s="4" t="str">
        <f>IF(OR($K21="",$L21="",$L21=0),"",EDATE($K21,$L21))</f>
        <v/>
      </c>
      <c r="N21" s="2" t="str">
        <f ca="1">IF($M21="","",IF(TODAY()&gt;=$M21,"Пора менять","ОК"))</f>
        <v/>
      </c>
      <c r="O21" s="2"/>
    </row>
    <row r="22" spans="1:15" x14ac:dyDescent="0.3">
      <c r="A22" s="2"/>
      <c r="B22" s="2" t="str">
        <f>IF($A22="","",IFERROR(VLOOKUP($A22,Spravochnik!$A$2:$H$61,2,0),""))</f>
        <v/>
      </c>
      <c r="C22" s="2" t="str">
        <f>IF($A22="","",IFERROR(VLOOKUP($A22,Spravochnik!$A$2:$H$61,3,0),""))</f>
        <v/>
      </c>
      <c r="D22" s="2" t="str">
        <f>IF($A22="","",IFERROR(VLOOKUP($A22,Spravochnik!$A$2:$H$61,4,0),""))</f>
        <v/>
      </c>
      <c r="E22" s="2" t="str">
        <f>IF($A22="","",IFERROR(VLOOKUP($A22,Spravochnik!$A$2:$H$61,5,0),""))</f>
        <v/>
      </c>
      <c r="F22" s="2" t="str">
        <f>IF($A22="","",IFERROR(VLOOKUP($A22,Spravochnik!$A$2:$H$61,6,0),""))</f>
        <v/>
      </c>
      <c r="G22" s="2"/>
      <c r="H22" s="2"/>
      <c r="I22" s="2"/>
      <c r="J22" s="3"/>
      <c r="K22" s="2"/>
      <c r="L22" s="3"/>
      <c r="M22" s="4" t="str">
        <f>IF(OR($K22="",$L22="",$L22=0),"",EDATE($K22,$L22))</f>
        <v/>
      </c>
      <c r="N22" s="2" t="str">
        <f ca="1">IF($M22="","",IF(TODAY()&gt;=$M22,"Пора менять","ОК"))</f>
        <v/>
      </c>
      <c r="O22" s="2"/>
    </row>
    <row r="23" spans="1:15" x14ac:dyDescent="0.3">
      <c r="A23" s="2"/>
      <c r="B23" s="2" t="str">
        <f>IF($A23="","",IFERROR(VLOOKUP($A23,Spravochnik!$A$2:$H$61,2,0),""))</f>
        <v/>
      </c>
      <c r="C23" s="2" t="str">
        <f>IF($A23="","",IFERROR(VLOOKUP($A23,Spravochnik!$A$2:$H$61,3,0),""))</f>
        <v/>
      </c>
      <c r="D23" s="2" t="str">
        <f>IF($A23="","",IFERROR(VLOOKUP($A23,Spravochnik!$A$2:$H$61,4,0),""))</f>
        <v/>
      </c>
      <c r="E23" s="2" t="str">
        <f>IF($A23="","",IFERROR(VLOOKUP($A23,Spravochnik!$A$2:$H$61,5,0),""))</f>
        <v/>
      </c>
      <c r="F23" s="2" t="str">
        <f>IF($A23="","",IFERROR(VLOOKUP($A23,Spravochnik!$A$2:$H$61,6,0),""))</f>
        <v/>
      </c>
      <c r="G23" s="2"/>
      <c r="H23" s="2"/>
      <c r="I23" s="2"/>
      <c r="J23" s="3"/>
      <c r="K23" s="2"/>
      <c r="L23" s="3"/>
      <c r="M23" s="4" t="str">
        <f>IF(OR($K23="",$L23="",$L23=0),"",EDATE($K23,$L23))</f>
        <v/>
      </c>
      <c r="N23" s="2" t="str">
        <f ca="1">IF($M23="","",IF(TODAY()&gt;=$M23,"Пора менять","ОК"))</f>
        <v/>
      </c>
      <c r="O23" s="2"/>
    </row>
    <row r="24" spans="1:15" x14ac:dyDescent="0.3">
      <c r="A24" s="2"/>
      <c r="B24" s="2" t="str">
        <f>IF($A24="","",IFERROR(VLOOKUP($A24,Spravochnik!$A$2:$H$61,2,0),""))</f>
        <v/>
      </c>
      <c r="C24" s="2" t="str">
        <f>IF($A24="","",IFERROR(VLOOKUP($A24,Spravochnik!$A$2:$H$61,3,0),""))</f>
        <v/>
      </c>
      <c r="D24" s="2" t="str">
        <f>IF($A24="","",IFERROR(VLOOKUP($A24,Spravochnik!$A$2:$H$61,4,0),""))</f>
        <v/>
      </c>
      <c r="E24" s="2" t="str">
        <f>IF($A24="","",IFERROR(VLOOKUP($A24,Spravochnik!$A$2:$H$61,5,0),""))</f>
        <v/>
      </c>
      <c r="F24" s="2" t="str">
        <f>IF($A24="","",IFERROR(VLOOKUP($A24,Spravochnik!$A$2:$H$61,6,0),""))</f>
        <v/>
      </c>
      <c r="G24" s="2"/>
      <c r="H24" s="2"/>
      <c r="I24" s="2"/>
      <c r="J24" s="3"/>
      <c r="K24" s="2"/>
      <c r="L24" s="3"/>
      <c r="M24" s="4" t="str">
        <f>IF(OR($K24="",$L24="",$L24=0),"",EDATE($K24,$L24))</f>
        <v/>
      </c>
      <c r="N24" s="2" t="str">
        <f ca="1">IF($M24="","",IF(TODAY()&gt;=$M24,"Пора менять","ОК"))</f>
        <v/>
      </c>
      <c r="O24" s="2"/>
    </row>
    <row r="25" spans="1:15" x14ac:dyDescent="0.3">
      <c r="A25" s="2"/>
      <c r="B25" s="2" t="str">
        <f>IF($A25="","",IFERROR(VLOOKUP($A25,Spravochnik!$A$2:$H$61,2,0),""))</f>
        <v/>
      </c>
      <c r="C25" s="2" t="str">
        <f>IF($A25="","",IFERROR(VLOOKUP($A25,Spravochnik!$A$2:$H$61,3,0),""))</f>
        <v/>
      </c>
      <c r="D25" s="2" t="str">
        <f>IF($A25="","",IFERROR(VLOOKUP($A25,Spravochnik!$A$2:$H$61,4,0),""))</f>
        <v/>
      </c>
      <c r="E25" s="2" t="str">
        <f>IF($A25="","",IFERROR(VLOOKUP($A25,Spravochnik!$A$2:$H$61,5,0),""))</f>
        <v/>
      </c>
      <c r="F25" s="2" t="str">
        <f>IF($A25="","",IFERROR(VLOOKUP($A25,Spravochnik!$A$2:$H$61,6,0),""))</f>
        <v/>
      </c>
      <c r="G25" s="2"/>
      <c r="H25" s="2"/>
      <c r="I25" s="2"/>
      <c r="J25" s="3"/>
      <c r="K25" s="2"/>
      <c r="L25" s="3"/>
      <c r="M25" s="4" t="str">
        <f>IF(OR($K25="",$L25="",$L25=0),"",EDATE($K25,$L25))</f>
        <v/>
      </c>
      <c r="N25" s="2" t="str">
        <f ca="1">IF($M25="","",IF(TODAY()&gt;=$M25,"Пора менять","ОК"))</f>
        <v/>
      </c>
      <c r="O25" s="2"/>
    </row>
    <row r="26" spans="1:15" x14ac:dyDescent="0.3">
      <c r="A26" s="2"/>
      <c r="B26" s="2" t="str">
        <f>IF($A26="","",IFERROR(VLOOKUP($A26,Spravochnik!$A$2:$H$61,2,0),""))</f>
        <v/>
      </c>
      <c r="C26" s="2" t="str">
        <f>IF($A26="","",IFERROR(VLOOKUP($A26,Spravochnik!$A$2:$H$61,3,0),""))</f>
        <v/>
      </c>
      <c r="D26" s="2" t="str">
        <f>IF($A26="","",IFERROR(VLOOKUP($A26,Spravochnik!$A$2:$H$61,4,0),""))</f>
        <v/>
      </c>
      <c r="E26" s="2" t="str">
        <f>IF($A26="","",IFERROR(VLOOKUP($A26,Spravochnik!$A$2:$H$61,5,0),""))</f>
        <v/>
      </c>
      <c r="F26" s="2" t="str">
        <f>IF($A26="","",IFERROR(VLOOKUP($A26,Spravochnik!$A$2:$H$61,6,0),""))</f>
        <v/>
      </c>
      <c r="G26" s="2"/>
      <c r="H26" s="2"/>
      <c r="I26" s="2"/>
      <c r="J26" s="3"/>
      <c r="K26" s="2"/>
      <c r="L26" s="3"/>
      <c r="M26" s="4" t="str">
        <f>IF(OR($K26="",$L26="",$L26=0),"",EDATE($K26,$L26))</f>
        <v/>
      </c>
      <c r="N26" s="2" t="str">
        <f ca="1">IF($M26="","",IF(TODAY()&gt;=$M26,"Пора менять","ОК"))</f>
        <v/>
      </c>
      <c r="O26" s="2"/>
    </row>
    <row r="27" spans="1:15" x14ac:dyDescent="0.3">
      <c r="A27" s="2"/>
      <c r="B27" s="2" t="str">
        <f>IF($A27="","",IFERROR(VLOOKUP($A27,Spravochnik!$A$2:$H$61,2,0),""))</f>
        <v/>
      </c>
      <c r="C27" s="2" t="str">
        <f>IF($A27="","",IFERROR(VLOOKUP($A27,Spravochnik!$A$2:$H$61,3,0),""))</f>
        <v/>
      </c>
      <c r="D27" s="2" t="str">
        <f>IF($A27="","",IFERROR(VLOOKUP($A27,Spravochnik!$A$2:$H$61,4,0),""))</f>
        <v/>
      </c>
      <c r="E27" s="2" t="str">
        <f>IF($A27="","",IFERROR(VLOOKUP($A27,Spravochnik!$A$2:$H$61,5,0),""))</f>
        <v/>
      </c>
      <c r="F27" s="2" t="str">
        <f>IF($A27="","",IFERROR(VLOOKUP($A27,Spravochnik!$A$2:$H$61,6,0),""))</f>
        <v/>
      </c>
      <c r="G27" s="2"/>
      <c r="H27" s="2"/>
      <c r="I27" s="2"/>
      <c r="J27" s="3"/>
      <c r="K27" s="2"/>
      <c r="L27" s="3"/>
      <c r="M27" s="4" t="str">
        <f>IF(OR($K27="",$L27="",$L27=0),"",EDATE($K27,$L27))</f>
        <v/>
      </c>
      <c r="N27" s="2" t="str">
        <f ca="1">IF($M27="","",IF(TODAY()&gt;=$M27,"Пора менять","ОК"))</f>
        <v/>
      </c>
      <c r="O27" s="2"/>
    </row>
    <row r="28" spans="1:15" x14ac:dyDescent="0.3">
      <c r="A28" s="2"/>
      <c r="B28" s="2" t="str">
        <f>IF($A28="","",IFERROR(VLOOKUP($A28,Spravochnik!$A$2:$H$61,2,0),""))</f>
        <v/>
      </c>
      <c r="C28" s="2" t="str">
        <f>IF($A28="","",IFERROR(VLOOKUP($A28,Spravochnik!$A$2:$H$61,3,0),""))</f>
        <v/>
      </c>
      <c r="D28" s="2" t="str">
        <f>IF($A28="","",IFERROR(VLOOKUP($A28,Spravochnik!$A$2:$H$61,4,0),""))</f>
        <v/>
      </c>
      <c r="E28" s="2" t="str">
        <f>IF($A28="","",IFERROR(VLOOKUP($A28,Spravochnik!$A$2:$H$61,5,0),""))</f>
        <v/>
      </c>
      <c r="F28" s="2" t="str">
        <f>IF($A28="","",IFERROR(VLOOKUP($A28,Spravochnik!$A$2:$H$61,6,0),""))</f>
        <v/>
      </c>
      <c r="G28" s="2"/>
      <c r="H28" s="2"/>
      <c r="I28" s="2"/>
      <c r="J28" s="3"/>
      <c r="K28" s="2"/>
      <c r="L28" s="3"/>
      <c r="M28" s="4" t="str">
        <f>IF(OR($K28="",$L28="",$L28=0),"",EDATE($K28,$L28))</f>
        <v/>
      </c>
      <c r="N28" s="2" t="str">
        <f ca="1">IF($M28="","",IF(TODAY()&gt;=$M28,"Пора менять","ОК"))</f>
        <v/>
      </c>
      <c r="O28" s="2"/>
    </row>
    <row r="29" spans="1:15" x14ac:dyDescent="0.3">
      <c r="A29" s="2"/>
      <c r="B29" s="2" t="str">
        <f>IF($A29="","",IFERROR(VLOOKUP($A29,Spravochnik!$A$2:$H$61,2,0),""))</f>
        <v/>
      </c>
      <c r="C29" s="2" t="str">
        <f>IF($A29="","",IFERROR(VLOOKUP($A29,Spravochnik!$A$2:$H$61,3,0),""))</f>
        <v/>
      </c>
      <c r="D29" s="2" t="str">
        <f>IF($A29="","",IFERROR(VLOOKUP($A29,Spravochnik!$A$2:$H$61,4,0),""))</f>
        <v/>
      </c>
      <c r="E29" s="2" t="str">
        <f>IF($A29="","",IFERROR(VLOOKUP($A29,Spravochnik!$A$2:$H$61,5,0),""))</f>
        <v/>
      </c>
      <c r="F29" s="2" t="str">
        <f>IF($A29="","",IFERROR(VLOOKUP($A29,Spravochnik!$A$2:$H$61,6,0),""))</f>
        <v/>
      </c>
      <c r="G29" s="2"/>
      <c r="H29" s="2"/>
      <c r="I29" s="2"/>
      <c r="J29" s="3"/>
      <c r="K29" s="2"/>
      <c r="L29" s="3"/>
      <c r="M29" s="4" t="str">
        <f>IF(OR($K29="",$L29="",$L29=0),"",EDATE($K29,$L29))</f>
        <v/>
      </c>
      <c r="N29" s="2" t="str">
        <f ca="1">IF($M29="","",IF(TODAY()&gt;=$M29,"Пора менять","ОК"))</f>
        <v/>
      </c>
      <c r="O29" s="2"/>
    </row>
    <row r="30" spans="1:15" x14ac:dyDescent="0.3">
      <c r="A30" s="2"/>
      <c r="B30" s="2" t="str">
        <f>IF($A30="","",IFERROR(VLOOKUP($A30,Spravochnik!$A$2:$H$61,2,0),""))</f>
        <v/>
      </c>
      <c r="C30" s="2" t="str">
        <f>IF($A30="","",IFERROR(VLOOKUP($A30,Spravochnik!$A$2:$H$61,3,0),""))</f>
        <v/>
      </c>
      <c r="D30" s="2" t="str">
        <f>IF($A30="","",IFERROR(VLOOKUP($A30,Spravochnik!$A$2:$H$61,4,0),""))</f>
        <v/>
      </c>
      <c r="E30" s="2" t="str">
        <f>IF($A30="","",IFERROR(VLOOKUP($A30,Spravochnik!$A$2:$H$61,5,0),""))</f>
        <v/>
      </c>
      <c r="F30" s="2" t="str">
        <f>IF($A30="","",IFERROR(VLOOKUP($A30,Spravochnik!$A$2:$H$61,6,0),""))</f>
        <v/>
      </c>
      <c r="G30" s="2"/>
      <c r="H30" s="2"/>
      <c r="I30" s="2"/>
      <c r="J30" s="3"/>
      <c r="K30" s="2"/>
      <c r="L30" s="3"/>
      <c r="M30" s="4" t="str">
        <f>IF(OR($K30="",$L30="",$L30=0),"",EDATE($K30,$L30))</f>
        <v/>
      </c>
      <c r="N30" s="2" t="str">
        <f ca="1">IF($M30="","",IF(TODAY()&gt;=$M30,"Пора менять","ОК"))</f>
        <v/>
      </c>
      <c r="O30" s="2"/>
    </row>
    <row r="31" spans="1:15" x14ac:dyDescent="0.3">
      <c r="A31" s="2"/>
      <c r="B31" s="2" t="str">
        <f>IF($A31="","",IFERROR(VLOOKUP($A31,Spravochnik!$A$2:$H$61,2,0),""))</f>
        <v/>
      </c>
      <c r="C31" s="2" t="str">
        <f>IF($A31="","",IFERROR(VLOOKUP($A31,Spravochnik!$A$2:$H$61,3,0),""))</f>
        <v/>
      </c>
      <c r="D31" s="2" t="str">
        <f>IF($A31="","",IFERROR(VLOOKUP($A31,Spravochnik!$A$2:$H$61,4,0),""))</f>
        <v/>
      </c>
      <c r="E31" s="2" t="str">
        <f>IF($A31="","",IFERROR(VLOOKUP($A31,Spravochnik!$A$2:$H$61,5,0),""))</f>
        <v/>
      </c>
      <c r="F31" s="2" t="str">
        <f>IF($A31="","",IFERROR(VLOOKUP($A31,Spravochnik!$A$2:$H$61,6,0),""))</f>
        <v/>
      </c>
      <c r="G31" s="2"/>
      <c r="H31" s="2"/>
      <c r="I31" s="2"/>
      <c r="J31" s="3"/>
      <c r="K31" s="2"/>
      <c r="L31" s="3"/>
      <c r="M31" s="4" t="str">
        <f>IF(OR($K31="",$L31="",$L31=0),"",EDATE($K31,$L31))</f>
        <v/>
      </c>
      <c r="N31" s="2" t="str">
        <f ca="1">IF($M31="","",IF(TODAY()&gt;=$M31,"Пора менять","ОК"))</f>
        <v/>
      </c>
      <c r="O31" s="2"/>
    </row>
    <row r="32" spans="1:15" x14ac:dyDescent="0.3">
      <c r="A32" s="2"/>
      <c r="B32" s="2" t="str">
        <f>IF($A32="","",IFERROR(VLOOKUP($A32,Spravochnik!$A$2:$H$61,2,0),""))</f>
        <v/>
      </c>
      <c r="C32" s="2" t="str">
        <f>IF($A32="","",IFERROR(VLOOKUP($A32,Spravochnik!$A$2:$H$61,3,0),""))</f>
        <v/>
      </c>
      <c r="D32" s="2" t="str">
        <f>IF($A32="","",IFERROR(VLOOKUP($A32,Spravochnik!$A$2:$H$61,4,0),""))</f>
        <v/>
      </c>
      <c r="E32" s="2" t="str">
        <f>IF($A32="","",IFERROR(VLOOKUP($A32,Spravochnik!$A$2:$H$61,5,0),""))</f>
        <v/>
      </c>
      <c r="F32" s="2" t="str">
        <f>IF($A32="","",IFERROR(VLOOKUP($A32,Spravochnik!$A$2:$H$61,6,0),""))</f>
        <v/>
      </c>
      <c r="G32" s="2"/>
      <c r="H32" s="2"/>
      <c r="I32" s="2"/>
      <c r="J32" s="3"/>
      <c r="K32" s="2"/>
      <c r="L32" s="3"/>
      <c r="M32" s="4" t="str">
        <f>IF(OR($K32="",$L32="",$L32=0),"",EDATE($K32,$L32))</f>
        <v/>
      </c>
      <c r="N32" s="2" t="str">
        <f ca="1">IF($M32="","",IF(TODAY()&gt;=$M32,"Пора менять","ОК"))</f>
        <v/>
      </c>
      <c r="O32" s="2"/>
    </row>
    <row r="33" spans="1:15" x14ac:dyDescent="0.3">
      <c r="A33" s="2"/>
      <c r="B33" s="2" t="str">
        <f>IF($A33="","",IFERROR(VLOOKUP($A33,Spravochnik!$A$2:$H$61,2,0),""))</f>
        <v/>
      </c>
      <c r="C33" s="2" t="str">
        <f>IF($A33="","",IFERROR(VLOOKUP($A33,Spravochnik!$A$2:$H$61,3,0),""))</f>
        <v/>
      </c>
      <c r="D33" s="2" t="str">
        <f>IF($A33="","",IFERROR(VLOOKUP($A33,Spravochnik!$A$2:$H$61,4,0),""))</f>
        <v/>
      </c>
      <c r="E33" s="2" t="str">
        <f>IF($A33="","",IFERROR(VLOOKUP($A33,Spravochnik!$A$2:$H$61,5,0),""))</f>
        <v/>
      </c>
      <c r="F33" s="2" t="str">
        <f>IF($A33="","",IFERROR(VLOOKUP($A33,Spravochnik!$A$2:$H$61,6,0),""))</f>
        <v/>
      </c>
      <c r="G33" s="2"/>
      <c r="H33" s="2"/>
      <c r="I33" s="2"/>
      <c r="J33" s="3"/>
      <c r="K33" s="2"/>
      <c r="L33" s="3"/>
      <c r="M33" s="4" t="str">
        <f>IF(OR($K33="",$L33="",$L33=0),"",EDATE($K33,$L33))</f>
        <v/>
      </c>
      <c r="N33" s="2" t="str">
        <f ca="1">IF($M33="","",IF(TODAY()&gt;=$M33,"Пора менять","ОК"))</f>
        <v/>
      </c>
      <c r="O33" s="2"/>
    </row>
    <row r="34" spans="1:15" x14ac:dyDescent="0.3">
      <c r="A34" s="2"/>
      <c r="B34" s="2" t="str">
        <f>IF($A34="","",IFERROR(VLOOKUP($A34,Spravochnik!$A$2:$H$61,2,0),""))</f>
        <v/>
      </c>
      <c r="C34" s="2" t="str">
        <f>IF($A34="","",IFERROR(VLOOKUP($A34,Spravochnik!$A$2:$H$61,3,0),""))</f>
        <v/>
      </c>
      <c r="D34" s="2" t="str">
        <f>IF($A34="","",IFERROR(VLOOKUP($A34,Spravochnik!$A$2:$H$61,4,0),""))</f>
        <v/>
      </c>
      <c r="E34" s="2" t="str">
        <f>IF($A34="","",IFERROR(VLOOKUP($A34,Spravochnik!$A$2:$H$61,5,0),""))</f>
        <v/>
      </c>
      <c r="F34" s="2" t="str">
        <f>IF($A34="","",IFERROR(VLOOKUP($A34,Spravochnik!$A$2:$H$61,6,0),""))</f>
        <v/>
      </c>
      <c r="G34" s="2"/>
      <c r="H34" s="2"/>
      <c r="I34" s="2"/>
      <c r="J34" s="3"/>
      <c r="K34" s="2"/>
      <c r="L34" s="3"/>
      <c r="M34" s="4" t="str">
        <f>IF(OR($K34="",$L34="",$L34=0),"",EDATE($K34,$L34))</f>
        <v/>
      </c>
      <c r="N34" s="2" t="str">
        <f ca="1">IF($M34="","",IF(TODAY()&gt;=$M34,"Пора менять","ОК"))</f>
        <v/>
      </c>
      <c r="O34" s="2"/>
    </row>
    <row r="35" spans="1:15" x14ac:dyDescent="0.3">
      <c r="A35" s="2"/>
      <c r="B35" s="2" t="str">
        <f>IF($A35="","",IFERROR(VLOOKUP($A35,Spravochnik!$A$2:$H$61,2,0),""))</f>
        <v/>
      </c>
      <c r="C35" s="2" t="str">
        <f>IF($A35="","",IFERROR(VLOOKUP($A35,Spravochnik!$A$2:$H$61,3,0),""))</f>
        <v/>
      </c>
      <c r="D35" s="2" t="str">
        <f>IF($A35="","",IFERROR(VLOOKUP($A35,Spravochnik!$A$2:$H$61,4,0),""))</f>
        <v/>
      </c>
      <c r="E35" s="2" t="str">
        <f>IF($A35="","",IFERROR(VLOOKUP($A35,Spravochnik!$A$2:$H$61,5,0),""))</f>
        <v/>
      </c>
      <c r="F35" s="2" t="str">
        <f>IF($A35="","",IFERROR(VLOOKUP($A35,Spravochnik!$A$2:$H$61,6,0),""))</f>
        <v/>
      </c>
      <c r="G35" s="2"/>
      <c r="H35" s="2"/>
      <c r="I35" s="2"/>
      <c r="J35" s="3"/>
      <c r="K35" s="2"/>
      <c r="L35" s="3"/>
      <c r="M35" s="4" t="str">
        <f>IF(OR($K35="",$L35="",$L35=0),"",EDATE($K35,$L35))</f>
        <v/>
      </c>
      <c r="N35" s="2" t="str">
        <f ca="1">IF($M35="","",IF(TODAY()&gt;=$M35,"Пора менять","ОК"))</f>
        <v/>
      </c>
      <c r="O35" s="2"/>
    </row>
    <row r="36" spans="1:15" x14ac:dyDescent="0.3">
      <c r="A36" s="2"/>
      <c r="B36" s="2" t="str">
        <f>IF($A36="","",IFERROR(VLOOKUP($A36,Spravochnik!$A$2:$H$61,2,0),""))</f>
        <v/>
      </c>
      <c r="C36" s="2" t="str">
        <f>IF($A36="","",IFERROR(VLOOKUP($A36,Spravochnik!$A$2:$H$61,3,0),""))</f>
        <v/>
      </c>
      <c r="D36" s="2" t="str">
        <f>IF($A36="","",IFERROR(VLOOKUP($A36,Spravochnik!$A$2:$H$61,4,0),""))</f>
        <v/>
      </c>
      <c r="E36" s="2" t="str">
        <f>IF($A36="","",IFERROR(VLOOKUP($A36,Spravochnik!$A$2:$H$61,5,0),""))</f>
        <v/>
      </c>
      <c r="F36" s="2" t="str">
        <f>IF($A36="","",IFERROR(VLOOKUP($A36,Spravochnik!$A$2:$H$61,6,0),""))</f>
        <v/>
      </c>
      <c r="G36" s="2"/>
      <c r="H36" s="2"/>
      <c r="I36" s="2"/>
      <c r="J36" s="3"/>
      <c r="K36" s="2"/>
      <c r="L36" s="3"/>
      <c r="M36" s="4" t="str">
        <f>IF(OR($K36="",$L36="",$L36=0),"",EDATE($K36,$L36))</f>
        <v/>
      </c>
      <c r="N36" s="2" t="str">
        <f ca="1">IF($M36="","",IF(TODAY()&gt;=$M36,"Пора менять","ОК"))</f>
        <v/>
      </c>
      <c r="O36" s="2"/>
    </row>
    <row r="37" spans="1:15" x14ac:dyDescent="0.3">
      <c r="A37" s="2"/>
      <c r="B37" s="2" t="str">
        <f>IF($A37="","",IFERROR(VLOOKUP($A37,Spravochnik!$A$2:$H$61,2,0),""))</f>
        <v/>
      </c>
      <c r="C37" s="2" t="str">
        <f>IF($A37="","",IFERROR(VLOOKUP($A37,Spravochnik!$A$2:$H$61,3,0),""))</f>
        <v/>
      </c>
      <c r="D37" s="2" t="str">
        <f>IF($A37="","",IFERROR(VLOOKUP($A37,Spravochnik!$A$2:$H$61,4,0),""))</f>
        <v/>
      </c>
      <c r="E37" s="2" t="str">
        <f>IF($A37="","",IFERROR(VLOOKUP($A37,Spravochnik!$A$2:$H$61,5,0),""))</f>
        <v/>
      </c>
      <c r="F37" s="2" t="str">
        <f>IF($A37="","",IFERROR(VLOOKUP($A37,Spravochnik!$A$2:$H$61,6,0),""))</f>
        <v/>
      </c>
      <c r="G37" s="2"/>
      <c r="H37" s="2"/>
      <c r="I37" s="2"/>
      <c r="J37" s="3"/>
      <c r="K37" s="2"/>
      <c r="L37" s="3"/>
      <c r="M37" s="4" t="str">
        <f>IF(OR($K37="",$L37="",$L37=0),"",EDATE($K37,$L37))</f>
        <v/>
      </c>
      <c r="N37" s="2" t="str">
        <f ca="1">IF($M37="","",IF(TODAY()&gt;=$M37,"Пора менять","ОК"))</f>
        <v/>
      </c>
      <c r="O37" s="2"/>
    </row>
    <row r="38" spans="1:15" x14ac:dyDescent="0.3">
      <c r="A38" s="2"/>
      <c r="B38" s="2" t="str">
        <f>IF($A38="","",IFERROR(VLOOKUP($A38,Spravochnik!$A$2:$H$61,2,0),""))</f>
        <v/>
      </c>
      <c r="C38" s="2" t="str">
        <f>IF($A38="","",IFERROR(VLOOKUP($A38,Spravochnik!$A$2:$H$61,3,0),""))</f>
        <v/>
      </c>
      <c r="D38" s="2" t="str">
        <f>IF($A38="","",IFERROR(VLOOKUP($A38,Spravochnik!$A$2:$H$61,4,0),""))</f>
        <v/>
      </c>
      <c r="E38" s="2" t="str">
        <f>IF($A38="","",IFERROR(VLOOKUP($A38,Spravochnik!$A$2:$H$61,5,0),""))</f>
        <v/>
      </c>
      <c r="F38" s="2" t="str">
        <f>IF($A38="","",IFERROR(VLOOKUP($A38,Spravochnik!$A$2:$H$61,6,0),""))</f>
        <v/>
      </c>
      <c r="G38" s="2"/>
      <c r="H38" s="2"/>
      <c r="I38" s="2"/>
      <c r="J38" s="3"/>
      <c r="K38" s="2"/>
      <c r="L38" s="3"/>
      <c r="M38" s="4" t="str">
        <f>IF(OR($K38="",$L38="",$L38=0),"",EDATE($K38,$L38))</f>
        <v/>
      </c>
      <c r="N38" s="2" t="str">
        <f ca="1">IF($M38="","",IF(TODAY()&gt;=$M38,"Пора менять","ОК"))</f>
        <v/>
      </c>
      <c r="O38" s="2"/>
    </row>
    <row r="39" spans="1:15" x14ac:dyDescent="0.3">
      <c r="A39" s="2"/>
      <c r="B39" s="2" t="str">
        <f>IF($A39="","",IFERROR(VLOOKUP($A39,Spravochnik!$A$2:$H$61,2,0),""))</f>
        <v/>
      </c>
      <c r="C39" s="2" t="str">
        <f>IF($A39="","",IFERROR(VLOOKUP($A39,Spravochnik!$A$2:$H$61,3,0),""))</f>
        <v/>
      </c>
      <c r="D39" s="2" t="str">
        <f>IF($A39="","",IFERROR(VLOOKUP($A39,Spravochnik!$A$2:$H$61,4,0),""))</f>
        <v/>
      </c>
      <c r="E39" s="2" t="str">
        <f>IF($A39="","",IFERROR(VLOOKUP($A39,Spravochnik!$A$2:$H$61,5,0),""))</f>
        <v/>
      </c>
      <c r="F39" s="2" t="str">
        <f>IF($A39="","",IFERROR(VLOOKUP($A39,Spravochnik!$A$2:$H$61,6,0),""))</f>
        <v/>
      </c>
      <c r="G39" s="2"/>
      <c r="H39" s="2"/>
      <c r="I39" s="2"/>
      <c r="J39" s="3"/>
      <c r="K39" s="2"/>
      <c r="L39" s="3"/>
      <c r="M39" s="4" t="str">
        <f>IF(OR($K39="",$L39="",$L39=0),"",EDATE($K39,$L39))</f>
        <v/>
      </c>
      <c r="N39" s="2" t="str">
        <f ca="1">IF($M39="","",IF(TODAY()&gt;=$M39,"Пора менять","ОК"))</f>
        <v/>
      </c>
      <c r="O39" s="2"/>
    </row>
    <row r="40" spans="1:15" x14ac:dyDescent="0.3">
      <c r="A40" s="2"/>
      <c r="B40" s="2" t="str">
        <f>IF($A40="","",IFERROR(VLOOKUP($A40,Spravochnik!$A$2:$H$61,2,0),""))</f>
        <v/>
      </c>
      <c r="C40" s="2" t="str">
        <f>IF($A40="","",IFERROR(VLOOKUP($A40,Spravochnik!$A$2:$H$61,3,0),""))</f>
        <v/>
      </c>
      <c r="D40" s="2" t="str">
        <f>IF($A40="","",IFERROR(VLOOKUP($A40,Spravochnik!$A$2:$H$61,4,0),""))</f>
        <v/>
      </c>
      <c r="E40" s="2" t="str">
        <f>IF($A40="","",IFERROR(VLOOKUP($A40,Spravochnik!$A$2:$H$61,5,0),""))</f>
        <v/>
      </c>
      <c r="F40" s="2" t="str">
        <f>IF($A40="","",IFERROR(VLOOKUP($A40,Spravochnik!$A$2:$H$61,6,0),""))</f>
        <v/>
      </c>
      <c r="G40" s="2"/>
      <c r="H40" s="2"/>
      <c r="I40" s="2"/>
      <c r="J40" s="3"/>
      <c r="K40" s="2"/>
      <c r="L40" s="3"/>
      <c r="M40" s="4" t="str">
        <f>IF(OR($K40="",$L40="",$L40=0),"",EDATE($K40,$L40))</f>
        <v/>
      </c>
      <c r="N40" s="2" t="str">
        <f ca="1">IF($M40="","",IF(TODAY()&gt;=$M40,"Пора менять","ОК"))</f>
        <v/>
      </c>
      <c r="O40" s="2"/>
    </row>
    <row r="41" spans="1:15" x14ac:dyDescent="0.3">
      <c r="A41" s="2"/>
      <c r="B41" s="2" t="str">
        <f>IF($A41="","",IFERROR(VLOOKUP($A41,Spravochnik!$A$2:$H$61,2,0),""))</f>
        <v/>
      </c>
      <c r="C41" s="2" t="str">
        <f>IF($A41="","",IFERROR(VLOOKUP($A41,Spravochnik!$A$2:$H$61,3,0),""))</f>
        <v/>
      </c>
      <c r="D41" s="2" t="str">
        <f>IF($A41="","",IFERROR(VLOOKUP($A41,Spravochnik!$A$2:$H$61,4,0),""))</f>
        <v/>
      </c>
      <c r="E41" s="2" t="str">
        <f>IF($A41="","",IFERROR(VLOOKUP($A41,Spravochnik!$A$2:$H$61,5,0),""))</f>
        <v/>
      </c>
      <c r="F41" s="2" t="str">
        <f>IF($A41="","",IFERROR(VLOOKUP($A41,Spravochnik!$A$2:$H$61,6,0),""))</f>
        <v/>
      </c>
      <c r="G41" s="2"/>
      <c r="H41" s="2"/>
      <c r="I41" s="2"/>
      <c r="J41" s="3"/>
      <c r="K41" s="2"/>
      <c r="L41" s="3"/>
      <c r="M41" s="4" t="str">
        <f>IF(OR($K41="",$L41="",$L41=0),"",EDATE($K41,$L41))</f>
        <v/>
      </c>
      <c r="N41" s="2" t="str">
        <f ca="1">IF($M41="","",IF(TODAY()&gt;=$M41,"Пора менять","ОК"))</f>
        <v/>
      </c>
      <c r="O41" s="2"/>
    </row>
    <row r="42" spans="1:15" x14ac:dyDescent="0.3">
      <c r="A42" s="2"/>
      <c r="B42" s="2" t="str">
        <f>IF($A42="","",IFERROR(VLOOKUP($A42,Spravochnik!$A$2:$H$61,2,0),""))</f>
        <v/>
      </c>
      <c r="C42" s="2" t="str">
        <f>IF($A42="","",IFERROR(VLOOKUP($A42,Spravochnik!$A$2:$H$61,3,0),""))</f>
        <v/>
      </c>
      <c r="D42" s="2" t="str">
        <f>IF($A42="","",IFERROR(VLOOKUP($A42,Spravochnik!$A$2:$H$61,4,0),""))</f>
        <v/>
      </c>
      <c r="E42" s="2" t="str">
        <f>IF($A42="","",IFERROR(VLOOKUP($A42,Spravochnik!$A$2:$H$61,5,0),""))</f>
        <v/>
      </c>
      <c r="F42" s="2" t="str">
        <f>IF($A42="","",IFERROR(VLOOKUP($A42,Spravochnik!$A$2:$H$61,6,0),""))</f>
        <v/>
      </c>
      <c r="G42" s="2"/>
      <c r="H42" s="2"/>
      <c r="I42" s="2"/>
      <c r="J42" s="3"/>
      <c r="K42" s="2"/>
      <c r="L42" s="3"/>
      <c r="M42" s="4" t="str">
        <f>IF(OR($K42="",$L42="",$L42=0),"",EDATE($K42,$L42))</f>
        <v/>
      </c>
      <c r="N42" s="2" t="str">
        <f ca="1">IF($M42="","",IF(TODAY()&gt;=$M42,"Пора менять","ОК"))</f>
        <v/>
      </c>
      <c r="O42" s="2"/>
    </row>
    <row r="43" spans="1:15" x14ac:dyDescent="0.3">
      <c r="A43" s="2"/>
      <c r="B43" s="2" t="str">
        <f>IF($A43="","",IFERROR(VLOOKUP($A43,Spravochnik!$A$2:$H$61,2,0),""))</f>
        <v/>
      </c>
      <c r="C43" s="2" t="str">
        <f>IF($A43="","",IFERROR(VLOOKUP($A43,Spravochnik!$A$2:$H$61,3,0),""))</f>
        <v/>
      </c>
      <c r="D43" s="2" t="str">
        <f>IF($A43="","",IFERROR(VLOOKUP($A43,Spravochnik!$A$2:$H$61,4,0),""))</f>
        <v/>
      </c>
      <c r="E43" s="2" t="str">
        <f>IF($A43="","",IFERROR(VLOOKUP($A43,Spravochnik!$A$2:$H$61,5,0),""))</f>
        <v/>
      </c>
      <c r="F43" s="2" t="str">
        <f>IF($A43="","",IFERROR(VLOOKUP($A43,Spravochnik!$A$2:$H$61,6,0),""))</f>
        <v/>
      </c>
      <c r="G43" s="2"/>
      <c r="H43" s="2"/>
      <c r="I43" s="2"/>
      <c r="J43" s="3"/>
      <c r="K43" s="2"/>
      <c r="L43" s="3"/>
      <c r="M43" s="4" t="str">
        <f>IF(OR($K43="",$L43="",$L43=0),"",EDATE($K43,$L43))</f>
        <v/>
      </c>
      <c r="N43" s="2" t="str">
        <f ca="1">IF($M43="","",IF(TODAY()&gt;=$M43,"Пора менять","ОК"))</f>
        <v/>
      </c>
      <c r="O43" s="2"/>
    </row>
    <row r="44" spans="1:15" x14ac:dyDescent="0.3">
      <c r="A44" s="2"/>
      <c r="B44" s="2" t="str">
        <f>IF($A44="","",IFERROR(VLOOKUP($A44,Spravochnik!$A$2:$H$61,2,0),""))</f>
        <v/>
      </c>
      <c r="C44" s="2" t="str">
        <f>IF($A44="","",IFERROR(VLOOKUP($A44,Spravochnik!$A$2:$H$61,3,0),""))</f>
        <v/>
      </c>
      <c r="D44" s="2" t="str">
        <f>IF($A44="","",IFERROR(VLOOKUP($A44,Spravochnik!$A$2:$H$61,4,0),""))</f>
        <v/>
      </c>
      <c r="E44" s="2" t="str">
        <f>IF($A44="","",IFERROR(VLOOKUP($A44,Spravochnik!$A$2:$H$61,5,0),""))</f>
        <v/>
      </c>
      <c r="F44" s="2" t="str">
        <f>IF($A44="","",IFERROR(VLOOKUP($A44,Spravochnik!$A$2:$H$61,6,0),""))</f>
        <v/>
      </c>
      <c r="G44" s="2"/>
      <c r="H44" s="2"/>
      <c r="I44" s="2"/>
      <c r="J44" s="3"/>
      <c r="K44" s="2"/>
      <c r="L44" s="3"/>
      <c r="M44" s="4" t="str">
        <f>IF(OR($K44="",$L44="",$L44=0),"",EDATE($K44,$L44))</f>
        <v/>
      </c>
      <c r="N44" s="2" t="str">
        <f ca="1">IF($M44="","",IF(TODAY()&gt;=$M44,"Пора менять","ОК"))</f>
        <v/>
      </c>
      <c r="O44" s="2"/>
    </row>
    <row r="45" spans="1:15" x14ac:dyDescent="0.3">
      <c r="A45" s="2"/>
      <c r="B45" s="2" t="str">
        <f>IF($A45="","",IFERROR(VLOOKUP($A45,Spravochnik!$A$2:$H$61,2,0),""))</f>
        <v/>
      </c>
      <c r="C45" s="2" t="str">
        <f>IF($A45="","",IFERROR(VLOOKUP($A45,Spravochnik!$A$2:$H$61,3,0),""))</f>
        <v/>
      </c>
      <c r="D45" s="2" t="str">
        <f>IF($A45="","",IFERROR(VLOOKUP($A45,Spravochnik!$A$2:$H$61,4,0),""))</f>
        <v/>
      </c>
      <c r="E45" s="2" t="str">
        <f>IF($A45="","",IFERROR(VLOOKUP($A45,Spravochnik!$A$2:$H$61,5,0),""))</f>
        <v/>
      </c>
      <c r="F45" s="2" t="str">
        <f>IF($A45="","",IFERROR(VLOOKUP($A45,Spravochnik!$A$2:$H$61,6,0),""))</f>
        <v/>
      </c>
      <c r="G45" s="2"/>
      <c r="H45" s="2"/>
      <c r="I45" s="2"/>
      <c r="J45" s="3"/>
      <c r="K45" s="2"/>
      <c r="L45" s="3"/>
      <c r="M45" s="4" t="str">
        <f>IF(OR($K45="",$L45="",$L45=0),"",EDATE($K45,$L45))</f>
        <v/>
      </c>
      <c r="N45" s="2" t="str">
        <f ca="1">IF($M45="","",IF(TODAY()&gt;=$M45,"Пора менять","ОК"))</f>
        <v/>
      </c>
      <c r="O45" s="2"/>
    </row>
    <row r="46" spans="1:15" x14ac:dyDescent="0.3">
      <c r="A46" s="2"/>
      <c r="B46" s="2" t="str">
        <f>IF($A46="","",IFERROR(VLOOKUP($A46,Spravochnik!$A$2:$H$61,2,0),""))</f>
        <v/>
      </c>
      <c r="C46" s="2" t="str">
        <f>IF($A46="","",IFERROR(VLOOKUP($A46,Spravochnik!$A$2:$H$61,3,0),""))</f>
        <v/>
      </c>
      <c r="D46" s="2" t="str">
        <f>IF($A46="","",IFERROR(VLOOKUP($A46,Spravochnik!$A$2:$H$61,4,0),""))</f>
        <v/>
      </c>
      <c r="E46" s="2" t="str">
        <f>IF($A46="","",IFERROR(VLOOKUP($A46,Spravochnik!$A$2:$H$61,5,0),""))</f>
        <v/>
      </c>
      <c r="F46" s="2" t="str">
        <f>IF($A46="","",IFERROR(VLOOKUP($A46,Spravochnik!$A$2:$H$61,6,0),""))</f>
        <v/>
      </c>
      <c r="G46" s="2"/>
      <c r="H46" s="2"/>
      <c r="I46" s="2"/>
      <c r="J46" s="3"/>
      <c r="K46" s="2"/>
      <c r="L46" s="3"/>
      <c r="M46" s="4" t="str">
        <f>IF(OR($K46="",$L46="",$L46=0),"",EDATE($K46,$L46))</f>
        <v/>
      </c>
      <c r="N46" s="2" t="str">
        <f ca="1">IF($M46="","",IF(TODAY()&gt;=$M46,"Пора менять","ОК"))</f>
        <v/>
      </c>
      <c r="O46" s="2"/>
    </row>
    <row r="47" spans="1:15" x14ac:dyDescent="0.3">
      <c r="A47" s="2"/>
      <c r="B47" s="2" t="str">
        <f>IF($A47="","",IFERROR(VLOOKUP($A47,Spravochnik!$A$2:$H$61,2,0),""))</f>
        <v/>
      </c>
      <c r="C47" s="2" t="str">
        <f>IF($A47="","",IFERROR(VLOOKUP($A47,Spravochnik!$A$2:$H$61,3,0),""))</f>
        <v/>
      </c>
      <c r="D47" s="2" t="str">
        <f>IF($A47="","",IFERROR(VLOOKUP($A47,Spravochnik!$A$2:$H$61,4,0),""))</f>
        <v/>
      </c>
      <c r="E47" s="2" t="str">
        <f>IF($A47="","",IFERROR(VLOOKUP($A47,Spravochnik!$A$2:$H$61,5,0),""))</f>
        <v/>
      </c>
      <c r="F47" s="2" t="str">
        <f>IF($A47="","",IFERROR(VLOOKUP($A47,Spravochnik!$A$2:$H$61,6,0),""))</f>
        <v/>
      </c>
      <c r="G47" s="2"/>
      <c r="H47" s="2"/>
      <c r="I47" s="2"/>
      <c r="J47" s="3"/>
      <c r="K47" s="2"/>
      <c r="L47" s="3"/>
      <c r="M47" s="4" t="str">
        <f>IF(OR($K47="",$L47="",$L47=0),"",EDATE($K47,$L47))</f>
        <v/>
      </c>
      <c r="N47" s="2" t="str">
        <f ca="1">IF($M47="","",IF(TODAY()&gt;=$M47,"Пора менять","ОК"))</f>
        <v/>
      </c>
      <c r="O47" s="2"/>
    </row>
    <row r="48" spans="1:15" x14ac:dyDescent="0.3">
      <c r="A48" s="2"/>
      <c r="B48" s="2" t="str">
        <f>IF($A48="","",IFERROR(VLOOKUP($A48,Spravochnik!$A$2:$H$61,2,0),""))</f>
        <v/>
      </c>
      <c r="C48" s="2" t="str">
        <f>IF($A48="","",IFERROR(VLOOKUP($A48,Spravochnik!$A$2:$H$61,3,0),""))</f>
        <v/>
      </c>
      <c r="D48" s="2" t="str">
        <f>IF($A48="","",IFERROR(VLOOKUP($A48,Spravochnik!$A$2:$H$61,4,0),""))</f>
        <v/>
      </c>
      <c r="E48" s="2" t="str">
        <f>IF($A48="","",IFERROR(VLOOKUP($A48,Spravochnik!$A$2:$H$61,5,0),""))</f>
        <v/>
      </c>
      <c r="F48" s="2" t="str">
        <f>IF($A48="","",IFERROR(VLOOKUP($A48,Spravochnik!$A$2:$H$61,6,0),""))</f>
        <v/>
      </c>
      <c r="G48" s="2"/>
      <c r="H48" s="2"/>
      <c r="I48" s="2"/>
      <c r="J48" s="3"/>
      <c r="K48" s="2"/>
      <c r="L48" s="3"/>
      <c r="M48" s="4" t="str">
        <f>IF(OR($K48="",$L48="",$L48=0),"",EDATE($K48,$L48))</f>
        <v/>
      </c>
      <c r="N48" s="2" t="str">
        <f ca="1">IF($M48="","",IF(TODAY()&gt;=$M48,"Пора менять","ОК"))</f>
        <v/>
      </c>
      <c r="O48" s="2"/>
    </row>
    <row r="49" spans="1:15" x14ac:dyDescent="0.3">
      <c r="A49" s="2"/>
      <c r="B49" s="2" t="str">
        <f>IF($A49="","",IFERROR(VLOOKUP($A49,Spravochnik!$A$2:$H$61,2,0),""))</f>
        <v/>
      </c>
      <c r="C49" s="2" t="str">
        <f>IF($A49="","",IFERROR(VLOOKUP($A49,Spravochnik!$A$2:$H$61,3,0),""))</f>
        <v/>
      </c>
      <c r="D49" s="2" t="str">
        <f>IF($A49="","",IFERROR(VLOOKUP($A49,Spravochnik!$A$2:$H$61,4,0),""))</f>
        <v/>
      </c>
      <c r="E49" s="2" t="str">
        <f>IF($A49="","",IFERROR(VLOOKUP($A49,Spravochnik!$A$2:$H$61,5,0),""))</f>
        <v/>
      </c>
      <c r="F49" s="2" t="str">
        <f>IF($A49="","",IFERROR(VLOOKUP($A49,Spravochnik!$A$2:$H$61,6,0),""))</f>
        <v/>
      </c>
      <c r="G49" s="2"/>
      <c r="H49" s="2"/>
      <c r="I49" s="2"/>
      <c r="J49" s="3"/>
      <c r="K49" s="2"/>
      <c r="L49" s="3"/>
      <c r="M49" s="4" t="str">
        <f>IF(OR($K49="",$L49="",$L49=0),"",EDATE($K49,$L49))</f>
        <v/>
      </c>
      <c r="N49" s="2" t="str">
        <f ca="1">IF($M49="","",IF(TODAY()&gt;=$M49,"Пора менять","ОК"))</f>
        <v/>
      </c>
      <c r="O49" s="2"/>
    </row>
    <row r="50" spans="1:15" x14ac:dyDescent="0.3">
      <c r="A50" s="2"/>
      <c r="B50" s="2" t="str">
        <f>IF($A50="","",IFERROR(VLOOKUP($A50,Spravochnik!$A$2:$H$61,2,0),""))</f>
        <v/>
      </c>
      <c r="C50" s="2" t="str">
        <f>IF($A50="","",IFERROR(VLOOKUP($A50,Spravochnik!$A$2:$H$61,3,0),""))</f>
        <v/>
      </c>
      <c r="D50" s="2" t="str">
        <f>IF($A50="","",IFERROR(VLOOKUP($A50,Spravochnik!$A$2:$H$61,4,0),""))</f>
        <v/>
      </c>
      <c r="E50" s="2" t="str">
        <f>IF($A50="","",IFERROR(VLOOKUP($A50,Spravochnik!$A$2:$H$61,5,0),""))</f>
        <v/>
      </c>
      <c r="F50" s="2" t="str">
        <f>IF($A50="","",IFERROR(VLOOKUP($A50,Spravochnik!$A$2:$H$61,6,0),""))</f>
        <v/>
      </c>
      <c r="G50" s="2"/>
      <c r="H50" s="2"/>
      <c r="I50" s="2"/>
      <c r="J50" s="3"/>
      <c r="K50" s="2"/>
      <c r="L50" s="3"/>
      <c r="M50" s="4" t="str">
        <f>IF(OR($K50="",$L50="",$L50=0),"",EDATE($K50,$L50))</f>
        <v/>
      </c>
      <c r="N50" s="2" t="str">
        <f ca="1">IF($M50="","",IF(TODAY()&gt;=$M50,"Пора менять","ОК"))</f>
        <v/>
      </c>
      <c r="O50" s="2"/>
    </row>
    <row r="51" spans="1:15" x14ac:dyDescent="0.3">
      <c r="A51" s="2"/>
      <c r="B51" s="2" t="str">
        <f>IF($A51="","",IFERROR(VLOOKUP($A51,Spravochnik!$A$2:$H$61,2,0),""))</f>
        <v/>
      </c>
      <c r="C51" s="2" t="str">
        <f>IF($A51="","",IFERROR(VLOOKUP($A51,Spravochnik!$A$2:$H$61,3,0),""))</f>
        <v/>
      </c>
      <c r="D51" s="2" t="str">
        <f>IF($A51="","",IFERROR(VLOOKUP($A51,Spravochnik!$A$2:$H$61,4,0),""))</f>
        <v/>
      </c>
      <c r="E51" s="2" t="str">
        <f>IF($A51="","",IFERROR(VLOOKUP($A51,Spravochnik!$A$2:$H$61,5,0),""))</f>
        <v/>
      </c>
      <c r="F51" s="2" t="str">
        <f>IF($A51="","",IFERROR(VLOOKUP($A51,Spravochnik!$A$2:$H$61,6,0),""))</f>
        <v/>
      </c>
      <c r="G51" s="2"/>
      <c r="H51" s="2"/>
      <c r="I51" s="2"/>
      <c r="J51" s="3"/>
      <c r="K51" s="2"/>
      <c r="L51" s="3"/>
      <c r="M51" s="4" t="str">
        <f>IF(OR($K51="",$L51="",$L51=0),"",EDATE($K51,$L51))</f>
        <v/>
      </c>
      <c r="N51" s="2" t="str">
        <f ca="1">IF($M51="","",IF(TODAY()&gt;=$M51,"Пора менять","ОК"))</f>
        <v/>
      </c>
      <c r="O51" s="2"/>
    </row>
    <row r="52" spans="1:15" x14ac:dyDescent="0.3">
      <c r="A52" s="2"/>
      <c r="B52" s="2" t="str">
        <f>IF($A52="","",IFERROR(VLOOKUP($A52,Spravochnik!$A$2:$H$61,2,0),""))</f>
        <v/>
      </c>
      <c r="C52" s="2" t="str">
        <f>IF($A52="","",IFERROR(VLOOKUP($A52,Spravochnik!$A$2:$H$61,3,0),""))</f>
        <v/>
      </c>
      <c r="D52" s="2" t="str">
        <f>IF($A52="","",IFERROR(VLOOKUP($A52,Spravochnik!$A$2:$H$61,4,0),""))</f>
        <v/>
      </c>
      <c r="E52" s="2" t="str">
        <f>IF($A52="","",IFERROR(VLOOKUP($A52,Spravochnik!$A$2:$H$61,5,0),""))</f>
        <v/>
      </c>
      <c r="F52" s="2" t="str">
        <f>IF($A52="","",IFERROR(VLOOKUP($A52,Spravochnik!$A$2:$H$61,6,0),""))</f>
        <v/>
      </c>
      <c r="G52" s="2"/>
      <c r="H52" s="2"/>
      <c r="I52" s="2"/>
      <c r="J52" s="3"/>
      <c r="K52" s="2"/>
      <c r="L52" s="3"/>
      <c r="M52" s="4" t="str">
        <f>IF(OR($K52="",$L52="",$L52=0),"",EDATE($K52,$L52))</f>
        <v/>
      </c>
      <c r="N52" s="2" t="str">
        <f ca="1">IF($M52="","",IF(TODAY()&gt;=$M52,"Пора менять","ОК"))</f>
        <v/>
      </c>
      <c r="O52" s="2"/>
    </row>
    <row r="53" spans="1:15" x14ac:dyDescent="0.3">
      <c r="A53" s="2"/>
      <c r="B53" s="2" t="str">
        <f>IF($A53="","",IFERROR(VLOOKUP($A53,Spravochnik!$A$2:$H$61,2,0),""))</f>
        <v/>
      </c>
      <c r="C53" s="2" t="str">
        <f>IF($A53="","",IFERROR(VLOOKUP($A53,Spravochnik!$A$2:$H$61,3,0),""))</f>
        <v/>
      </c>
      <c r="D53" s="2" t="str">
        <f>IF($A53="","",IFERROR(VLOOKUP($A53,Spravochnik!$A$2:$H$61,4,0),""))</f>
        <v/>
      </c>
      <c r="E53" s="2" t="str">
        <f>IF($A53="","",IFERROR(VLOOKUP($A53,Spravochnik!$A$2:$H$61,5,0),""))</f>
        <v/>
      </c>
      <c r="F53" s="2" t="str">
        <f>IF($A53="","",IFERROR(VLOOKUP($A53,Spravochnik!$A$2:$H$61,6,0),""))</f>
        <v/>
      </c>
      <c r="G53" s="2"/>
      <c r="H53" s="2"/>
      <c r="I53" s="2"/>
      <c r="J53" s="3"/>
      <c r="K53" s="2"/>
      <c r="L53" s="3"/>
      <c r="M53" s="4" t="str">
        <f>IF(OR($K53="",$L53="",$L53=0),"",EDATE($K53,$L53))</f>
        <v/>
      </c>
      <c r="N53" s="2" t="str">
        <f ca="1">IF($M53="","",IF(TODAY()&gt;=$M53,"Пора менять","ОК"))</f>
        <v/>
      </c>
      <c r="O53" s="2"/>
    </row>
    <row r="54" spans="1:15" x14ac:dyDescent="0.3">
      <c r="A54" s="2"/>
      <c r="B54" s="2" t="str">
        <f>IF($A54="","",IFERROR(VLOOKUP($A54,Spravochnik!$A$2:$H$61,2,0),""))</f>
        <v/>
      </c>
      <c r="C54" s="2" t="str">
        <f>IF($A54="","",IFERROR(VLOOKUP($A54,Spravochnik!$A$2:$H$61,3,0),""))</f>
        <v/>
      </c>
      <c r="D54" s="2" t="str">
        <f>IF($A54="","",IFERROR(VLOOKUP($A54,Spravochnik!$A$2:$H$61,4,0),""))</f>
        <v/>
      </c>
      <c r="E54" s="2" t="str">
        <f>IF($A54="","",IFERROR(VLOOKUP($A54,Spravochnik!$A$2:$H$61,5,0),""))</f>
        <v/>
      </c>
      <c r="F54" s="2" t="str">
        <f>IF($A54="","",IFERROR(VLOOKUP($A54,Spravochnik!$A$2:$H$61,6,0),""))</f>
        <v/>
      </c>
      <c r="G54" s="2"/>
      <c r="H54" s="2"/>
      <c r="I54" s="2"/>
      <c r="J54" s="3"/>
      <c r="K54" s="2"/>
      <c r="L54" s="3"/>
      <c r="M54" s="4" t="str">
        <f>IF(OR($K54="",$L54="",$L54=0),"",EDATE($K54,$L54))</f>
        <v/>
      </c>
      <c r="N54" s="2" t="str">
        <f ca="1">IF($M54="","",IF(TODAY()&gt;=$M54,"Пора менять","ОК"))</f>
        <v/>
      </c>
      <c r="O54" s="2"/>
    </row>
    <row r="55" spans="1:15" x14ac:dyDescent="0.3">
      <c r="A55" s="2"/>
      <c r="B55" s="2" t="str">
        <f>IF($A55="","",IFERROR(VLOOKUP($A55,Spravochnik!$A$2:$H$61,2,0),""))</f>
        <v/>
      </c>
      <c r="C55" s="2" t="str">
        <f>IF($A55="","",IFERROR(VLOOKUP($A55,Spravochnik!$A$2:$H$61,3,0),""))</f>
        <v/>
      </c>
      <c r="D55" s="2" t="str">
        <f>IF($A55="","",IFERROR(VLOOKUP($A55,Spravochnik!$A$2:$H$61,4,0),""))</f>
        <v/>
      </c>
      <c r="E55" s="2" t="str">
        <f>IF($A55="","",IFERROR(VLOOKUP($A55,Spravochnik!$A$2:$H$61,5,0),""))</f>
        <v/>
      </c>
      <c r="F55" s="2" t="str">
        <f>IF($A55="","",IFERROR(VLOOKUP($A55,Spravochnik!$A$2:$H$61,6,0),""))</f>
        <v/>
      </c>
      <c r="G55" s="2"/>
      <c r="H55" s="2"/>
      <c r="I55" s="2"/>
      <c r="J55" s="3"/>
      <c r="K55" s="2"/>
      <c r="L55" s="3"/>
      <c r="M55" s="4" t="str">
        <f>IF(OR($K55="",$L55="",$L55=0),"",EDATE($K55,$L55))</f>
        <v/>
      </c>
      <c r="N55" s="2" t="str">
        <f ca="1">IF($M55="","",IF(TODAY()&gt;=$M55,"Пора менять","ОК"))</f>
        <v/>
      </c>
      <c r="O55" s="2"/>
    </row>
    <row r="56" spans="1:15" x14ac:dyDescent="0.3">
      <c r="A56" s="2"/>
      <c r="B56" s="2" t="str">
        <f>IF($A56="","",IFERROR(VLOOKUP($A56,Spravochnik!$A$2:$H$61,2,0),""))</f>
        <v/>
      </c>
      <c r="C56" s="2" t="str">
        <f>IF($A56="","",IFERROR(VLOOKUP($A56,Spravochnik!$A$2:$H$61,3,0),""))</f>
        <v/>
      </c>
      <c r="D56" s="2" t="str">
        <f>IF($A56="","",IFERROR(VLOOKUP($A56,Spravochnik!$A$2:$H$61,4,0),""))</f>
        <v/>
      </c>
      <c r="E56" s="2" t="str">
        <f>IF($A56="","",IFERROR(VLOOKUP($A56,Spravochnik!$A$2:$H$61,5,0),""))</f>
        <v/>
      </c>
      <c r="F56" s="2" t="str">
        <f>IF($A56="","",IFERROR(VLOOKUP($A56,Spravochnik!$A$2:$H$61,6,0),""))</f>
        <v/>
      </c>
      <c r="G56" s="2"/>
      <c r="H56" s="2"/>
      <c r="I56" s="2"/>
      <c r="J56" s="3"/>
      <c r="K56" s="2"/>
      <c r="L56" s="3"/>
      <c r="M56" s="4" t="str">
        <f>IF(OR($K56="",$L56="",$L56=0),"",EDATE($K56,$L56))</f>
        <v/>
      </c>
      <c r="N56" s="2" t="str">
        <f ca="1">IF($M56="","",IF(TODAY()&gt;=$M56,"Пора менять","ОК"))</f>
        <v/>
      </c>
      <c r="O56" s="2"/>
    </row>
    <row r="57" spans="1:15" x14ac:dyDescent="0.3">
      <c r="A57" s="2"/>
      <c r="B57" s="2" t="str">
        <f>IF($A57="","",IFERROR(VLOOKUP($A57,Spravochnik!$A$2:$H$61,2,0),""))</f>
        <v/>
      </c>
      <c r="C57" s="2" t="str">
        <f>IF($A57="","",IFERROR(VLOOKUP($A57,Spravochnik!$A$2:$H$61,3,0),""))</f>
        <v/>
      </c>
      <c r="D57" s="2" t="str">
        <f>IF($A57="","",IFERROR(VLOOKUP($A57,Spravochnik!$A$2:$H$61,4,0),""))</f>
        <v/>
      </c>
      <c r="E57" s="2" t="str">
        <f>IF($A57="","",IFERROR(VLOOKUP($A57,Spravochnik!$A$2:$H$61,5,0),""))</f>
        <v/>
      </c>
      <c r="F57" s="2" t="str">
        <f>IF($A57="","",IFERROR(VLOOKUP($A57,Spravochnik!$A$2:$H$61,6,0),""))</f>
        <v/>
      </c>
      <c r="G57" s="2"/>
      <c r="H57" s="2"/>
      <c r="I57" s="2"/>
      <c r="J57" s="3"/>
      <c r="K57" s="2"/>
      <c r="L57" s="3"/>
      <c r="M57" s="4" t="str">
        <f>IF(OR($K57="",$L57="",$L57=0),"",EDATE($K57,$L57))</f>
        <v/>
      </c>
      <c r="N57" s="2" t="str">
        <f ca="1">IF($M57="","",IF(TODAY()&gt;=$M57,"Пора менять","ОК"))</f>
        <v/>
      </c>
      <c r="O57" s="2"/>
    </row>
    <row r="58" spans="1:15" x14ac:dyDescent="0.3">
      <c r="A58" s="2"/>
      <c r="B58" s="2" t="str">
        <f>IF($A58="","",IFERROR(VLOOKUP($A58,Spravochnik!$A$2:$H$61,2,0),""))</f>
        <v/>
      </c>
      <c r="C58" s="2" t="str">
        <f>IF($A58="","",IFERROR(VLOOKUP($A58,Spravochnik!$A$2:$H$61,3,0),""))</f>
        <v/>
      </c>
      <c r="D58" s="2" t="str">
        <f>IF($A58="","",IFERROR(VLOOKUP($A58,Spravochnik!$A$2:$H$61,4,0),""))</f>
        <v/>
      </c>
      <c r="E58" s="2" t="str">
        <f>IF($A58="","",IFERROR(VLOOKUP($A58,Spravochnik!$A$2:$H$61,5,0),""))</f>
        <v/>
      </c>
      <c r="F58" s="2" t="str">
        <f>IF($A58="","",IFERROR(VLOOKUP($A58,Spravochnik!$A$2:$H$61,6,0),""))</f>
        <v/>
      </c>
      <c r="G58" s="2"/>
      <c r="H58" s="2"/>
      <c r="I58" s="2"/>
      <c r="J58" s="3"/>
      <c r="K58" s="2"/>
      <c r="L58" s="3"/>
      <c r="M58" s="4" t="str">
        <f>IF(OR($K58="",$L58="",$L58=0),"",EDATE($K58,$L58))</f>
        <v/>
      </c>
      <c r="N58" s="2" t="str">
        <f ca="1">IF($M58="","",IF(TODAY()&gt;=$M58,"Пора менять","ОК"))</f>
        <v/>
      </c>
      <c r="O58" s="2"/>
    </row>
    <row r="59" spans="1:15" x14ac:dyDescent="0.3">
      <c r="A59" s="2"/>
      <c r="B59" s="2" t="str">
        <f>IF($A59="","",IFERROR(VLOOKUP($A59,Spravochnik!$A$2:$H$61,2,0),""))</f>
        <v/>
      </c>
      <c r="C59" s="2" t="str">
        <f>IF($A59="","",IFERROR(VLOOKUP($A59,Spravochnik!$A$2:$H$61,3,0),""))</f>
        <v/>
      </c>
      <c r="D59" s="2" t="str">
        <f>IF($A59="","",IFERROR(VLOOKUP($A59,Spravochnik!$A$2:$H$61,4,0),""))</f>
        <v/>
      </c>
      <c r="E59" s="2" t="str">
        <f>IF($A59="","",IFERROR(VLOOKUP($A59,Spravochnik!$A$2:$H$61,5,0),""))</f>
        <v/>
      </c>
      <c r="F59" s="2" t="str">
        <f>IF($A59="","",IFERROR(VLOOKUP($A59,Spravochnik!$A$2:$H$61,6,0),""))</f>
        <v/>
      </c>
      <c r="G59" s="2"/>
      <c r="H59" s="2"/>
      <c r="I59" s="2"/>
      <c r="J59" s="3"/>
      <c r="K59" s="2"/>
      <c r="L59" s="3"/>
      <c r="M59" s="4" t="str">
        <f>IF(OR($K59="",$L59="",$L59=0),"",EDATE($K59,$L59))</f>
        <v/>
      </c>
      <c r="N59" s="2" t="str">
        <f ca="1">IF($M59="","",IF(TODAY()&gt;=$M59,"Пора менять","ОК"))</f>
        <v/>
      </c>
      <c r="O59" s="2"/>
    </row>
    <row r="60" spans="1:15" x14ac:dyDescent="0.3">
      <c r="A60" s="2"/>
      <c r="B60" s="2" t="str">
        <f>IF($A60="","",IFERROR(VLOOKUP($A60,Spravochnik!$A$2:$H$61,2,0),""))</f>
        <v/>
      </c>
      <c r="C60" s="2" t="str">
        <f>IF($A60="","",IFERROR(VLOOKUP($A60,Spravochnik!$A$2:$H$61,3,0),""))</f>
        <v/>
      </c>
      <c r="D60" s="2" t="str">
        <f>IF($A60="","",IFERROR(VLOOKUP($A60,Spravochnik!$A$2:$H$61,4,0),""))</f>
        <v/>
      </c>
      <c r="E60" s="2" t="str">
        <f>IF($A60="","",IFERROR(VLOOKUP($A60,Spravochnik!$A$2:$H$61,5,0),""))</f>
        <v/>
      </c>
      <c r="F60" s="2" t="str">
        <f>IF($A60="","",IFERROR(VLOOKUP($A60,Spravochnik!$A$2:$H$61,6,0),""))</f>
        <v/>
      </c>
      <c r="G60" s="2"/>
      <c r="H60" s="2"/>
      <c r="I60" s="2"/>
      <c r="J60" s="3"/>
      <c r="K60" s="2"/>
      <c r="L60" s="3"/>
      <c r="M60" s="4" t="str">
        <f>IF(OR($K60="",$L60="",$L60=0),"",EDATE($K60,$L60))</f>
        <v/>
      </c>
      <c r="N60" s="2" t="str">
        <f ca="1">IF($M60="","",IF(TODAY()&gt;=$M60,"Пора менять","ОК"))</f>
        <v/>
      </c>
      <c r="O60" s="2"/>
    </row>
    <row r="61" spans="1:15" x14ac:dyDescent="0.3">
      <c r="A61" s="2"/>
      <c r="B61" s="2" t="str">
        <f>IF($A61="","",IFERROR(VLOOKUP($A61,Spravochnik!$A$2:$H$61,2,0),""))</f>
        <v/>
      </c>
      <c r="C61" s="2" t="str">
        <f>IF($A61="","",IFERROR(VLOOKUP($A61,Spravochnik!$A$2:$H$61,3,0),""))</f>
        <v/>
      </c>
      <c r="D61" s="2" t="str">
        <f>IF($A61="","",IFERROR(VLOOKUP($A61,Spravochnik!$A$2:$H$61,4,0),""))</f>
        <v/>
      </c>
      <c r="E61" s="2" t="str">
        <f>IF($A61="","",IFERROR(VLOOKUP($A61,Spravochnik!$A$2:$H$61,5,0),""))</f>
        <v/>
      </c>
      <c r="F61" s="2" t="str">
        <f>IF($A61="","",IFERROR(VLOOKUP($A61,Spravochnik!$A$2:$H$61,6,0),""))</f>
        <v/>
      </c>
      <c r="G61" s="2"/>
      <c r="H61" s="2"/>
      <c r="I61" s="2"/>
      <c r="J61" s="3"/>
      <c r="K61" s="2"/>
      <c r="L61" s="3"/>
      <c r="M61" s="4" t="str">
        <f>IF(OR($K61="",$L61="",$L61=0),"",EDATE($K61,$L61))</f>
        <v/>
      </c>
      <c r="N61" s="2" t="str">
        <f ca="1">IF($M61="","",IF(TODAY()&gt;=$M61,"Пора менять","ОК"))</f>
        <v/>
      </c>
      <c r="O61" s="2"/>
    </row>
    <row r="62" spans="1:15" x14ac:dyDescent="0.3">
      <c r="A62" s="2"/>
      <c r="B62" s="2" t="str">
        <f>IF($A62="","",IFERROR(VLOOKUP($A62,Spravochnik!$A$2:$H$61,2,0),""))</f>
        <v/>
      </c>
      <c r="C62" s="2" t="str">
        <f>IF($A62="","",IFERROR(VLOOKUP($A62,Spravochnik!$A$2:$H$61,3,0),""))</f>
        <v/>
      </c>
      <c r="D62" s="2" t="str">
        <f>IF($A62="","",IFERROR(VLOOKUP($A62,Spravochnik!$A$2:$H$61,4,0),""))</f>
        <v/>
      </c>
      <c r="E62" s="2" t="str">
        <f>IF($A62="","",IFERROR(VLOOKUP($A62,Spravochnik!$A$2:$H$61,5,0),""))</f>
        <v/>
      </c>
      <c r="F62" s="2" t="str">
        <f>IF($A62="","",IFERROR(VLOOKUP($A62,Spravochnik!$A$2:$H$61,6,0),""))</f>
        <v/>
      </c>
      <c r="G62" s="2"/>
      <c r="H62" s="2"/>
      <c r="I62" s="2"/>
      <c r="J62" s="3"/>
      <c r="K62" s="2"/>
      <c r="L62" s="3"/>
      <c r="M62" s="4" t="str">
        <f>IF(OR($K62="",$L62="",$L62=0),"",EDATE($K62,$L62))</f>
        <v/>
      </c>
      <c r="N62" s="2" t="str">
        <f ca="1">IF($M62="","",IF(TODAY()&gt;=$M62,"Пора менять","ОК"))</f>
        <v/>
      </c>
      <c r="O62" s="2"/>
    </row>
    <row r="63" spans="1:15" x14ac:dyDescent="0.3">
      <c r="A63" s="2"/>
      <c r="B63" s="2" t="str">
        <f>IF($A63="","",IFERROR(VLOOKUP($A63,Spravochnik!$A$2:$H$61,2,0),""))</f>
        <v/>
      </c>
      <c r="C63" s="2" t="str">
        <f>IF($A63="","",IFERROR(VLOOKUP($A63,Spravochnik!$A$2:$H$61,3,0),""))</f>
        <v/>
      </c>
      <c r="D63" s="2" t="str">
        <f>IF($A63="","",IFERROR(VLOOKUP($A63,Spravochnik!$A$2:$H$61,4,0),""))</f>
        <v/>
      </c>
      <c r="E63" s="2" t="str">
        <f>IF($A63="","",IFERROR(VLOOKUP($A63,Spravochnik!$A$2:$H$61,5,0),""))</f>
        <v/>
      </c>
      <c r="F63" s="2" t="str">
        <f>IF($A63="","",IFERROR(VLOOKUP($A63,Spravochnik!$A$2:$H$61,6,0),""))</f>
        <v/>
      </c>
      <c r="G63" s="2"/>
      <c r="H63" s="2"/>
      <c r="I63" s="2"/>
      <c r="J63" s="3"/>
      <c r="K63" s="2"/>
      <c r="L63" s="3"/>
      <c r="M63" s="4" t="str">
        <f>IF(OR($K63="",$L63="",$L63=0),"",EDATE($K63,$L63))</f>
        <v/>
      </c>
      <c r="N63" s="2" t="str">
        <f ca="1">IF($M63="","",IF(TODAY()&gt;=$M63,"Пора менять","ОК"))</f>
        <v/>
      </c>
      <c r="O63" s="2"/>
    </row>
    <row r="64" spans="1:15" x14ac:dyDescent="0.3">
      <c r="A64" s="2"/>
      <c r="B64" s="2" t="str">
        <f>IF($A64="","",IFERROR(VLOOKUP($A64,Spravochnik!$A$2:$H$61,2,0),""))</f>
        <v/>
      </c>
      <c r="C64" s="2" t="str">
        <f>IF($A64="","",IFERROR(VLOOKUP($A64,Spravochnik!$A$2:$H$61,3,0),""))</f>
        <v/>
      </c>
      <c r="D64" s="2" t="str">
        <f>IF($A64="","",IFERROR(VLOOKUP($A64,Spravochnik!$A$2:$H$61,4,0),""))</f>
        <v/>
      </c>
      <c r="E64" s="2" t="str">
        <f>IF($A64="","",IFERROR(VLOOKUP($A64,Spravochnik!$A$2:$H$61,5,0),""))</f>
        <v/>
      </c>
      <c r="F64" s="2" t="str">
        <f>IF($A64="","",IFERROR(VLOOKUP($A64,Spravochnik!$A$2:$H$61,6,0),""))</f>
        <v/>
      </c>
      <c r="G64" s="2"/>
      <c r="H64" s="2"/>
      <c r="I64" s="2"/>
      <c r="J64" s="3"/>
      <c r="K64" s="2"/>
      <c r="L64" s="3"/>
      <c r="M64" s="4" t="str">
        <f>IF(OR($K64="",$L64="",$L64=0),"",EDATE($K64,$L64))</f>
        <v/>
      </c>
      <c r="N64" s="2" t="str">
        <f ca="1">IF($M64="","",IF(TODAY()&gt;=$M64,"Пора менять","ОК"))</f>
        <v/>
      </c>
      <c r="O64" s="2"/>
    </row>
    <row r="65" spans="1:15" x14ac:dyDescent="0.3">
      <c r="A65" s="2"/>
      <c r="B65" s="2" t="str">
        <f>IF($A65="","",IFERROR(VLOOKUP($A65,Spravochnik!$A$2:$H$61,2,0),""))</f>
        <v/>
      </c>
      <c r="C65" s="2" t="str">
        <f>IF($A65="","",IFERROR(VLOOKUP($A65,Spravochnik!$A$2:$H$61,3,0),""))</f>
        <v/>
      </c>
      <c r="D65" s="2" t="str">
        <f>IF($A65="","",IFERROR(VLOOKUP($A65,Spravochnik!$A$2:$H$61,4,0),""))</f>
        <v/>
      </c>
      <c r="E65" s="2" t="str">
        <f>IF($A65="","",IFERROR(VLOOKUP($A65,Spravochnik!$A$2:$H$61,5,0),""))</f>
        <v/>
      </c>
      <c r="F65" s="2" t="str">
        <f>IF($A65="","",IFERROR(VLOOKUP($A65,Spravochnik!$A$2:$H$61,6,0),""))</f>
        <v/>
      </c>
      <c r="G65" s="2"/>
      <c r="H65" s="2"/>
      <c r="I65" s="2"/>
      <c r="J65" s="3"/>
      <c r="K65" s="2"/>
      <c r="L65" s="3"/>
      <c r="M65" s="4" t="str">
        <f>IF(OR($K65="",$L65="",$L65=0),"",EDATE($K65,$L65))</f>
        <v/>
      </c>
      <c r="N65" s="2" t="str">
        <f ca="1">IF($M65="","",IF(TODAY()&gt;=$M65,"Пора менять","ОК"))</f>
        <v/>
      </c>
      <c r="O65" s="2"/>
    </row>
    <row r="66" spans="1:15" x14ac:dyDescent="0.3">
      <c r="A66" s="2"/>
      <c r="B66" s="2" t="str">
        <f>IF($A66="","",IFERROR(VLOOKUP($A66,Spravochnik!$A$2:$H$61,2,0),""))</f>
        <v/>
      </c>
      <c r="C66" s="2" t="str">
        <f>IF($A66="","",IFERROR(VLOOKUP($A66,Spravochnik!$A$2:$H$61,3,0),""))</f>
        <v/>
      </c>
      <c r="D66" s="2" t="str">
        <f>IF($A66="","",IFERROR(VLOOKUP($A66,Spravochnik!$A$2:$H$61,4,0),""))</f>
        <v/>
      </c>
      <c r="E66" s="2" t="str">
        <f>IF($A66="","",IFERROR(VLOOKUP($A66,Spravochnik!$A$2:$H$61,5,0),""))</f>
        <v/>
      </c>
      <c r="F66" s="2" t="str">
        <f>IF($A66="","",IFERROR(VLOOKUP($A66,Spravochnik!$A$2:$H$61,6,0),""))</f>
        <v/>
      </c>
      <c r="G66" s="2"/>
      <c r="H66" s="2"/>
      <c r="I66" s="2"/>
      <c r="J66" s="3"/>
      <c r="K66" s="2"/>
      <c r="L66" s="3"/>
      <c r="M66" s="4" t="str">
        <f>IF(OR($K66="",$L66="",$L66=0),"",EDATE($K66,$L66))</f>
        <v/>
      </c>
      <c r="N66" s="2" t="str">
        <f ca="1">IF($M66="","",IF(TODAY()&gt;=$M66,"Пора менять","ОК"))</f>
        <v/>
      </c>
      <c r="O66" s="2"/>
    </row>
    <row r="67" spans="1:15" x14ac:dyDescent="0.3">
      <c r="A67" s="2"/>
      <c r="B67" s="2" t="str">
        <f>IF($A67="","",IFERROR(VLOOKUP($A67,Spravochnik!$A$2:$H$61,2,0),""))</f>
        <v/>
      </c>
      <c r="C67" s="2" t="str">
        <f>IF($A67="","",IFERROR(VLOOKUP($A67,Spravochnik!$A$2:$H$61,3,0),""))</f>
        <v/>
      </c>
      <c r="D67" s="2" t="str">
        <f>IF($A67="","",IFERROR(VLOOKUP($A67,Spravochnik!$A$2:$H$61,4,0),""))</f>
        <v/>
      </c>
      <c r="E67" s="2" t="str">
        <f>IF($A67="","",IFERROR(VLOOKUP($A67,Spravochnik!$A$2:$H$61,5,0),""))</f>
        <v/>
      </c>
      <c r="F67" s="2" t="str">
        <f>IF($A67="","",IFERROR(VLOOKUP($A67,Spravochnik!$A$2:$H$61,6,0),""))</f>
        <v/>
      </c>
      <c r="G67" s="2"/>
      <c r="H67" s="2"/>
      <c r="I67" s="2"/>
      <c r="J67" s="3"/>
      <c r="K67" s="2"/>
      <c r="L67" s="3"/>
      <c r="M67" s="4" t="str">
        <f>IF(OR($K67="",$L67="",$L67=0),"",EDATE($K67,$L67))</f>
        <v/>
      </c>
      <c r="N67" s="2" t="str">
        <f ca="1">IF($M67="","",IF(TODAY()&gt;=$M67,"Пора менять","ОК"))</f>
        <v/>
      </c>
      <c r="O67" s="2"/>
    </row>
    <row r="68" spans="1:15" x14ac:dyDescent="0.3">
      <c r="A68" s="2"/>
      <c r="B68" s="2" t="str">
        <f>IF($A68="","",IFERROR(VLOOKUP($A68,Spravochnik!$A$2:$H$61,2,0),""))</f>
        <v/>
      </c>
      <c r="C68" s="2" t="str">
        <f>IF($A68="","",IFERROR(VLOOKUP($A68,Spravochnik!$A$2:$H$61,3,0),""))</f>
        <v/>
      </c>
      <c r="D68" s="2" t="str">
        <f>IF($A68="","",IFERROR(VLOOKUP($A68,Spravochnik!$A$2:$H$61,4,0),""))</f>
        <v/>
      </c>
      <c r="E68" s="2" t="str">
        <f>IF($A68="","",IFERROR(VLOOKUP($A68,Spravochnik!$A$2:$H$61,5,0),""))</f>
        <v/>
      </c>
      <c r="F68" s="2" t="str">
        <f>IF($A68="","",IFERROR(VLOOKUP($A68,Spravochnik!$A$2:$H$61,6,0),""))</f>
        <v/>
      </c>
      <c r="G68" s="2"/>
      <c r="H68" s="2"/>
      <c r="I68" s="2"/>
      <c r="J68" s="3"/>
      <c r="K68" s="2"/>
      <c r="L68" s="3"/>
      <c r="M68" s="4" t="str">
        <f>IF(OR($K68="",$L68="",$L68=0),"",EDATE($K68,$L68))</f>
        <v/>
      </c>
      <c r="N68" s="2" t="str">
        <f ca="1">IF($M68="","",IF(TODAY()&gt;=$M68,"Пора менять","ОК"))</f>
        <v/>
      </c>
      <c r="O68" s="2"/>
    </row>
    <row r="69" spans="1:15" x14ac:dyDescent="0.3">
      <c r="A69" s="2"/>
      <c r="B69" s="2" t="str">
        <f>IF($A69="","",IFERROR(VLOOKUP($A69,Spravochnik!$A$2:$H$61,2,0),""))</f>
        <v/>
      </c>
      <c r="C69" s="2" t="str">
        <f>IF($A69="","",IFERROR(VLOOKUP($A69,Spravochnik!$A$2:$H$61,3,0),""))</f>
        <v/>
      </c>
      <c r="D69" s="2" t="str">
        <f>IF($A69="","",IFERROR(VLOOKUP($A69,Spravochnik!$A$2:$H$61,4,0),""))</f>
        <v/>
      </c>
      <c r="E69" s="2" t="str">
        <f>IF($A69="","",IFERROR(VLOOKUP($A69,Spravochnik!$A$2:$H$61,5,0),""))</f>
        <v/>
      </c>
      <c r="F69" s="2" t="str">
        <f>IF($A69="","",IFERROR(VLOOKUP($A69,Spravochnik!$A$2:$H$61,6,0),""))</f>
        <v/>
      </c>
      <c r="G69" s="2"/>
      <c r="H69" s="2"/>
      <c r="I69" s="2"/>
      <c r="J69" s="3"/>
      <c r="K69" s="2"/>
      <c r="L69" s="3"/>
      <c r="M69" s="4" t="str">
        <f>IF(OR($K69="",$L69="",$L69=0),"",EDATE($K69,$L69))</f>
        <v/>
      </c>
      <c r="N69" s="2" t="str">
        <f ca="1">IF($M69="","",IF(TODAY()&gt;=$M69,"Пора менять","ОК"))</f>
        <v/>
      </c>
      <c r="O69" s="2"/>
    </row>
    <row r="70" spans="1:15" x14ac:dyDescent="0.3">
      <c r="A70" s="2"/>
      <c r="B70" s="2" t="str">
        <f>IF($A70="","",IFERROR(VLOOKUP($A70,Spravochnik!$A$2:$H$61,2,0),""))</f>
        <v/>
      </c>
      <c r="C70" s="2" t="str">
        <f>IF($A70="","",IFERROR(VLOOKUP($A70,Spravochnik!$A$2:$H$61,3,0),""))</f>
        <v/>
      </c>
      <c r="D70" s="2" t="str">
        <f>IF($A70="","",IFERROR(VLOOKUP($A70,Spravochnik!$A$2:$H$61,4,0),""))</f>
        <v/>
      </c>
      <c r="E70" s="2" t="str">
        <f>IF($A70="","",IFERROR(VLOOKUP($A70,Spravochnik!$A$2:$H$61,5,0),""))</f>
        <v/>
      </c>
      <c r="F70" s="2" t="str">
        <f>IF($A70="","",IFERROR(VLOOKUP($A70,Spravochnik!$A$2:$H$61,6,0),""))</f>
        <v/>
      </c>
      <c r="G70" s="2"/>
      <c r="H70" s="2"/>
      <c r="I70" s="2"/>
      <c r="J70" s="3"/>
      <c r="K70" s="2"/>
      <c r="L70" s="3"/>
      <c r="M70" s="4" t="str">
        <f>IF(OR($K70="",$L70="",$L70=0),"",EDATE($K70,$L70))</f>
        <v/>
      </c>
      <c r="N70" s="2" t="str">
        <f ca="1">IF($M70="","",IF(TODAY()&gt;=$M70,"Пора менять","ОК"))</f>
        <v/>
      </c>
      <c r="O70" s="2"/>
    </row>
    <row r="71" spans="1:15" x14ac:dyDescent="0.3">
      <c r="A71" s="2"/>
      <c r="B71" s="2" t="str">
        <f>IF($A71="","",IFERROR(VLOOKUP($A71,Spravochnik!$A$2:$H$61,2,0),""))</f>
        <v/>
      </c>
      <c r="C71" s="2" t="str">
        <f>IF($A71="","",IFERROR(VLOOKUP($A71,Spravochnik!$A$2:$H$61,3,0),""))</f>
        <v/>
      </c>
      <c r="D71" s="2" t="str">
        <f>IF($A71="","",IFERROR(VLOOKUP($A71,Spravochnik!$A$2:$H$61,4,0),""))</f>
        <v/>
      </c>
      <c r="E71" s="2" t="str">
        <f>IF($A71="","",IFERROR(VLOOKUP($A71,Spravochnik!$A$2:$H$61,5,0),""))</f>
        <v/>
      </c>
      <c r="F71" s="2" t="str">
        <f>IF($A71="","",IFERROR(VLOOKUP($A71,Spravochnik!$A$2:$H$61,6,0),""))</f>
        <v/>
      </c>
      <c r="G71" s="2"/>
      <c r="H71" s="2"/>
      <c r="I71" s="2"/>
      <c r="J71" s="3"/>
      <c r="K71" s="2"/>
      <c r="L71" s="3"/>
      <c r="M71" s="4" t="str">
        <f>IF(OR($K71="",$L71="",$L71=0),"",EDATE($K71,$L71))</f>
        <v/>
      </c>
      <c r="N71" s="2" t="str">
        <f ca="1">IF($M71="","",IF(TODAY()&gt;=$M71,"Пора менять","ОК"))</f>
        <v/>
      </c>
      <c r="O71" s="2"/>
    </row>
    <row r="72" spans="1:15" x14ac:dyDescent="0.3">
      <c r="A72" s="2"/>
      <c r="B72" s="2" t="str">
        <f>IF($A72="","",IFERROR(VLOOKUP($A72,Spravochnik!$A$2:$H$61,2,0),""))</f>
        <v/>
      </c>
      <c r="C72" s="2" t="str">
        <f>IF($A72="","",IFERROR(VLOOKUP($A72,Spravochnik!$A$2:$H$61,3,0),""))</f>
        <v/>
      </c>
      <c r="D72" s="2" t="str">
        <f>IF($A72="","",IFERROR(VLOOKUP($A72,Spravochnik!$A$2:$H$61,4,0),""))</f>
        <v/>
      </c>
      <c r="E72" s="2" t="str">
        <f>IF($A72="","",IFERROR(VLOOKUP($A72,Spravochnik!$A$2:$H$61,5,0),""))</f>
        <v/>
      </c>
      <c r="F72" s="2" t="str">
        <f>IF($A72="","",IFERROR(VLOOKUP($A72,Spravochnik!$A$2:$H$61,6,0),""))</f>
        <v/>
      </c>
      <c r="G72" s="2"/>
      <c r="H72" s="2"/>
      <c r="I72" s="2"/>
      <c r="J72" s="3"/>
      <c r="K72" s="2"/>
      <c r="L72" s="3"/>
      <c r="M72" s="4" t="str">
        <f>IF(OR($K72="",$L72="",$L72=0),"",EDATE($K72,$L72))</f>
        <v/>
      </c>
      <c r="N72" s="2" t="str">
        <f ca="1">IF($M72="","",IF(TODAY()&gt;=$M72,"Пора менять","ОК"))</f>
        <v/>
      </c>
      <c r="O72" s="2"/>
    </row>
    <row r="73" spans="1:15" x14ac:dyDescent="0.3">
      <c r="A73" s="2"/>
      <c r="B73" s="2" t="str">
        <f>IF($A73="","",IFERROR(VLOOKUP($A73,Spravochnik!$A$2:$H$61,2,0),""))</f>
        <v/>
      </c>
      <c r="C73" s="2" t="str">
        <f>IF($A73="","",IFERROR(VLOOKUP($A73,Spravochnik!$A$2:$H$61,3,0),""))</f>
        <v/>
      </c>
      <c r="D73" s="2" t="str">
        <f>IF($A73="","",IFERROR(VLOOKUP($A73,Spravochnik!$A$2:$H$61,4,0),""))</f>
        <v/>
      </c>
      <c r="E73" s="2" t="str">
        <f>IF($A73="","",IFERROR(VLOOKUP($A73,Spravochnik!$A$2:$H$61,5,0),""))</f>
        <v/>
      </c>
      <c r="F73" s="2" t="str">
        <f>IF($A73="","",IFERROR(VLOOKUP($A73,Spravochnik!$A$2:$H$61,6,0),""))</f>
        <v/>
      </c>
      <c r="G73" s="2"/>
      <c r="H73" s="2"/>
      <c r="I73" s="2"/>
      <c r="J73" s="3"/>
      <c r="K73" s="2"/>
      <c r="L73" s="3"/>
      <c r="M73" s="4" t="str">
        <f>IF(OR($K73="",$L73="",$L73=0),"",EDATE($K73,$L73))</f>
        <v/>
      </c>
      <c r="N73" s="2" t="str">
        <f ca="1">IF($M73="","",IF(TODAY()&gt;=$M73,"Пора менять","ОК"))</f>
        <v/>
      </c>
      <c r="O73" s="2"/>
    </row>
    <row r="74" spans="1:15" x14ac:dyDescent="0.3">
      <c r="A74" s="2"/>
      <c r="B74" s="2" t="str">
        <f>IF($A74="","",IFERROR(VLOOKUP($A74,Spravochnik!$A$2:$H$61,2,0),""))</f>
        <v/>
      </c>
      <c r="C74" s="2" t="str">
        <f>IF($A74="","",IFERROR(VLOOKUP($A74,Spravochnik!$A$2:$H$61,3,0),""))</f>
        <v/>
      </c>
      <c r="D74" s="2" t="str">
        <f>IF($A74="","",IFERROR(VLOOKUP($A74,Spravochnik!$A$2:$H$61,4,0),""))</f>
        <v/>
      </c>
      <c r="E74" s="2" t="str">
        <f>IF($A74="","",IFERROR(VLOOKUP($A74,Spravochnik!$A$2:$H$61,5,0),""))</f>
        <v/>
      </c>
      <c r="F74" s="2" t="str">
        <f>IF($A74="","",IFERROR(VLOOKUP($A74,Spravochnik!$A$2:$H$61,6,0),""))</f>
        <v/>
      </c>
      <c r="G74" s="2"/>
      <c r="H74" s="2"/>
      <c r="I74" s="2"/>
      <c r="J74" s="3"/>
      <c r="K74" s="2"/>
      <c r="L74" s="3"/>
      <c r="M74" s="4" t="str">
        <f>IF(OR($K74="",$L74="",$L74=0),"",EDATE($K74,$L74))</f>
        <v/>
      </c>
      <c r="N74" s="2" t="str">
        <f ca="1">IF($M74="","",IF(TODAY()&gt;=$M74,"Пора менять","ОК"))</f>
        <v/>
      </c>
      <c r="O74" s="2"/>
    </row>
    <row r="75" spans="1:15" x14ac:dyDescent="0.3">
      <c r="A75" s="2"/>
      <c r="B75" s="2" t="str">
        <f>IF($A75="","",IFERROR(VLOOKUP($A75,Spravochnik!$A$2:$H$61,2,0),""))</f>
        <v/>
      </c>
      <c r="C75" s="2" t="str">
        <f>IF($A75="","",IFERROR(VLOOKUP($A75,Spravochnik!$A$2:$H$61,3,0),""))</f>
        <v/>
      </c>
      <c r="D75" s="2" t="str">
        <f>IF($A75="","",IFERROR(VLOOKUP($A75,Spravochnik!$A$2:$H$61,4,0),""))</f>
        <v/>
      </c>
      <c r="E75" s="2" t="str">
        <f>IF($A75="","",IFERROR(VLOOKUP($A75,Spravochnik!$A$2:$H$61,5,0),""))</f>
        <v/>
      </c>
      <c r="F75" s="2" t="str">
        <f>IF($A75="","",IFERROR(VLOOKUP($A75,Spravochnik!$A$2:$H$61,6,0),""))</f>
        <v/>
      </c>
      <c r="G75" s="2"/>
      <c r="H75" s="2"/>
      <c r="I75" s="2"/>
      <c r="J75" s="3"/>
      <c r="K75" s="2"/>
      <c r="L75" s="3"/>
      <c r="M75" s="4" t="str">
        <f>IF(OR($K75="",$L75="",$L75=0),"",EDATE($K75,$L75))</f>
        <v/>
      </c>
      <c r="N75" s="2" t="str">
        <f ca="1">IF($M75="","",IF(TODAY()&gt;=$M75,"Пора менять","ОК"))</f>
        <v/>
      </c>
      <c r="O75" s="2"/>
    </row>
    <row r="76" spans="1:15" x14ac:dyDescent="0.3">
      <c r="A76" s="2"/>
      <c r="B76" s="2" t="str">
        <f>IF($A76="","",IFERROR(VLOOKUP($A76,Spravochnik!$A$2:$H$61,2,0),""))</f>
        <v/>
      </c>
      <c r="C76" s="2" t="str">
        <f>IF($A76="","",IFERROR(VLOOKUP($A76,Spravochnik!$A$2:$H$61,3,0),""))</f>
        <v/>
      </c>
      <c r="D76" s="2" t="str">
        <f>IF($A76="","",IFERROR(VLOOKUP($A76,Spravochnik!$A$2:$H$61,4,0),""))</f>
        <v/>
      </c>
      <c r="E76" s="2" t="str">
        <f>IF($A76="","",IFERROR(VLOOKUP($A76,Spravochnik!$A$2:$H$61,5,0),""))</f>
        <v/>
      </c>
      <c r="F76" s="2" t="str">
        <f>IF($A76="","",IFERROR(VLOOKUP($A76,Spravochnik!$A$2:$H$61,6,0),""))</f>
        <v/>
      </c>
      <c r="G76" s="2"/>
      <c r="H76" s="2"/>
      <c r="I76" s="2"/>
      <c r="J76" s="3"/>
      <c r="K76" s="2"/>
      <c r="L76" s="3"/>
      <c r="M76" s="4" t="str">
        <f>IF(OR($K76="",$L76="",$L76=0),"",EDATE($K76,$L76))</f>
        <v/>
      </c>
      <c r="N76" s="2" t="str">
        <f ca="1">IF($M76="","",IF(TODAY()&gt;=$M76,"Пора менять","ОК"))</f>
        <v/>
      </c>
      <c r="O76" s="2"/>
    </row>
    <row r="77" spans="1:15" x14ac:dyDescent="0.3">
      <c r="A77" s="2"/>
      <c r="B77" s="2" t="str">
        <f>IF($A77="","",IFERROR(VLOOKUP($A77,Spravochnik!$A$2:$H$61,2,0),""))</f>
        <v/>
      </c>
      <c r="C77" s="2" t="str">
        <f>IF($A77="","",IFERROR(VLOOKUP($A77,Spravochnik!$A$2:$H$61,3,0),""))</f>
        <v/>
      </c>
      <c r="D77" s="2" t="str">
        <f>IF($A77="","",IFERROR(VLOOKUP($A77,Spravochnik!$A$2:$H$61,4,0),""))</f>
        <v/>
      </c>
      <c r="E77" s="2" t="str">
        <f>IF($A77="","",IFERROR(VLOOKUP($A77,Spravochnik!$A$2:$H$61,5,0),""))</f>
        <v/>
      </c>
      <c r="F77" s="2" t="str">
        <f>IF($A77="","",IFERROR(VLOOKUP($A77,Spravochnik!$A$2:$H$61,6,0),""))</f>
        <v/>
      </c>
      <c r="G77" s="2"/>
      <c r="H77" s="2"/>
      <c r="I77" s="2"/>
      <c r="J77" s="3"/>
      <c r="K77" s="2"/>
      <c r="L77" s="3"/>
      <c r="M77" s="4" t="str">
        <f>IF(OR($K77="",$L77="",$L77=0),"",EDATE($K77,$L77))</f>
        <v/>
      </c>
      <c r="N77" s="2" t="str">
        <f ca="1">IF($M77="","",IF(TODAY()&gt;=$M77,"Пора менять","ОК"))</f>
        <v/>
      </c>
      <c r="O77" s="2"/>
    </row>
    <row r="78" spans="1:15" x14ac:dyDescent="0.3">
      <c r="A78" s="2"/>
      <c r="B78" s="2" t="str">
        <f>IF($A78="","",IFERROR(VLOOKUP($A78,Spravochnik!$A$2:$H$61,2,0),""))</f>
        <v/>
      </c>
      <c r="C78" s="2" t="str">
        <f>IF($A78="","",IFERROR(VLOOKUP($A78,Spravochnik!$A$2:$H$61,3,0),""))</f>
        <v/>
      </c>
      <c r="D78" s="2" t="str">
        <f>IF($A78="","",IFERROR(VLOOKUP($A78,Spravochnik!$A$2:$H$61,4,0),""))</f>
        <v/>
      </c>
      <c r="E78" s="2" t="str">
        <f>IF($A78="","",IFERROR(VLOOKUP($A78,Spravochnik!$A$2:$H$61,5,0),""))</f>
        <v/>
      </c>
      <c r="F78" s="2" t="str">
        <f>IF($A78="","",IFERROR(VLOOKUP($A78,Spravochnik!$A$2:$H$61,6,0),""))</f>
        <v/>
      </c>
      <c r="G78" s="2"/>
      <c r="H78" s="2"/>
      <c r="I78" s="2"/>
      <c r="J78" s="3"/>
      <c r="K78" s="2"/>
      <c r="L78" s="3"/>
      <c r="M78" s="4" t="str">
        <f>IF(OR($K78="",$L78="",$L78=0),"",EDATE($K78,$L78))</f>
        <v/>
      </c>
      <c r="N78" s="2" t="str">
        <f ca="1">IF($M78="","",IF(TODAY()&gt;=$M78,"Пора менять","ОК"))</f>
        <v/>
      </c>
      <c r="O78" s="2"/>
    </row>
    <row r="79" spans="1:15" x14ac:dyDescent="0.3">
      <c r="A79" s="2"/>
      <c r="B79" s="2" t="str">
        <f>IF($A79="","",IFERROR(VLOOKUP($A79,Spravochnik!$A$2:$H$61,2,0),""))</f>
        <v/>
      </c>
      <c r="C79" s="2" t="str">
        <f>IF($A79="","",IFERROR(VLOOKUP($A79,Spravochnik!$A$2:$H$61,3,0),""))</f>
        <v/>
      </c>
      <c r="D79" s="2" t="str">
        <f>IF($A79="","",IFERROR(VLOOKUP($A79,Spravochnik!$A$2:$H$61,4,0),""))</f>
        <v/>
      </c>
      <c r="E79" s="2" t="str">
        <f>IF($A79="","",IFERROR(VLOOKUP($A79,Spravochnik!$A$2:$H$61,5,0),""))</f>
        <v/>
      </c>
      <c r="F79" s="2" t="str">
        <f>IF($A79="","",IFERROR(VLOOKUP($A79,Spravochnik!$A$2:$H$61,6,0),""))</f>
        <v/>
      </c>
      <c r="G79" s="2"/>
      <c r="H79" s="2"/>
      <c r="I79" s="2"/>
      <c r="J79" s="3"/>
      <c r="K79" s="2"/>
      <c r="L79" s="3"/>
      <c r="M79" s="4" t="str">
        <f>IF(OR($K79="",$L79="",$L79=0),"",EDATE($K79,$L79))</f>
        <v/>
      </c>
      <c r="N79" s="2" t="str">
        <f ca="1">IF($M79="","",IF(TODAY()&gt;=$M79,"Пора менять","ОК"))</f>
        <v/>
      </c>
      <c r="O79" s="2"/>
    </row>
    <row r="80" spans="1:15" x14ac:dyDescent="0.3">
      <c r="A80" s="2"/>
      <c r="B80" s="2" t="str">
        <f>IF($A80="","",IFERROR(VLOOKUP($A80,Spravochnik!$A$2:$H$61,2,0),""))</f>
        <v/>
      </c>
      <c r="C80" s="2" t="str">
        <f>IF($A80="","",IFERROR(VLOOKUP($A80,Spravochnik!$A$2:$H$61,3,0),""))</f>
        <v/>
      </c>
      <c r="D80" s="2" t="str">
        <f>IF($A80="","",IFERROR(VLOOKUP($A80,Spravochnik!$A$2:$H$61,4,0),""))</f>
        <v/>
      </c>
      <c r="E80" s="2" t="str">
        <f>IF($A80="","",IFERROR(VLOOKUP($A80,Spravochnik!$A$2:$H$61,5,0),""))</f>
        <v/>
      </c>
      <c r="F80" s="2" t="str">
        <f>IF($A80="","",IFERROR(VLOOKUP($A80,Spravochnik!$A$2:$H$61,6,0),""))</f>
        <v/>
      </c>
      <c r="G80" s="2"/>
      <c r="H80" s="2"/>
      <c r="I80" s="2"/>
      <c r="J80" s="3"/>
      <c r="K80" s="2"/>
      <c r="L80" s="3"/>
      <c r="M80" s="4" t="str">
        <f>IF(OR($K80="",$L80="",$L80=0),"",EDATE($K80,$L80))</f>
        <v/>
      </c>
      <c r="N80" s="2" t="str">
        <f ca="1">IF($M80="","",IF(TODAY()&gt;=$M80,"Пора менять","ОК"))</f>
        <v/>
      </c>
      <c r="O80" s="2"/>
    </row>
    <row r="81" spans="1:15" x14ac:dyDescent="0.3">
      <c r="A81" s="2"/>
      <c r="B81" s="2" t="str">
        <f>IF($A81="","",IFERROR(VLOOKUP($A81,Spravochnik!$A$2:$H$61,2,0),""))</f>
        <v/>
      </c>
      <c r="C81" s="2" t="str">
        <f>IF($A81="","",IFERROR(VLOOKUP($A81,Spravochnik!$A$2:$H$61,3,0),""))</f>
        <v/>
      </c>
      <c r="D81" s="2" t="str">
        <f>IF($A81="","",IFERROR(VLOOKUP($A81,Spravochnik!$A$2:$H$61,4,0),""))</f>
        <v/>
      </c>
      <c r="E81" s="2" t="str">
        <f>IF($A81="","",IFERROR(VLOOKUP($A81,Spravochnik!$A$2:$H$61,5,0),""))</f>
        <v/>
      </c>
      <c r="F81" s="2" t="str">
        <f>IF($A81="","",IFERROR(VLOOKUP($A81,Spravochnik!$A$2:$H$61,6,0),""))</f>
        <v/>
      </c>
      <c r="G81" s="2"/>
      <c r="H81" s="2"/>
      <c r="I81" s="2"/>
      <c r="J81" s="3"/>
      <c r="K81" s="2"/>
      <c r="L81" s="3"/>
      <c r="M81" s="4" t="str">
        <f>IF(OR($K81="",$L81="",$L81=0),"",EDATE($K81,$L81))</f>
        <v/>
      </c>
      <c r="N81" s="2" t="str">
        <f ca="1">IF($M81="","",IF(TODAY()&gt;=$M81,"Пора менять","ОК"))</f>
        <v/>
      </c>
      <c r="O81" s="2"/>
    </row>
  </sheetData>
  <conditionalFormatting sqref="N2:N81">
    <cfRule type="expression" dxfId="5" priority="1" stopIfTrue="1">
      <formula>$N2="Пора менять"</formula>
    </cfRule>
    <cfRule type="expression" dxfId="4" priority="2" stopIfTrue="1">
      <formula>$N2="ОК"</formula>
    </cfRule>
  </conditionalFormatting>
  <conditionalFormatting sqref="O2:O81">
    <cfRule type="expression" dxfId="3" priority="3" stopIfTrue="1">
      <formula>$O2="Выдано"</formula>
    </cfRule>
    <cfRule type="expression" dxfId="2" priority="4" stopIfTrue="1">
      <formula>$O2="Возвращено"</formula>
    </cfRule>
    <cfRule type="expression" dxfId="1" priority="5" stopIfTrue="1">
      <formula>$O2="Списано"</formula>
    </cfRule>
    <cfRule type="expression" dxfId="0" priority="6" stopIfTrue="1">
      <formula>$O2="На замену"</formula>
    </cfRule>
  </conditionalFormatting>
  <dataValidations count="2">
    <dataValidation type="list" allowBlank="1" showInputMessage="1" showErrorMessage="1" sqref="G2:G81">
      <formula1>CatList2</formula1>
    </dataValidation>
    <dataValidation type="list" allowBlank="1" showInputMessage="1" showErrorMessage="1" sqref="O2:O81">
      <formula1>StatusVydList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Spravochnik!$A$2:$A$61</xm:f>
          </x14:formula1>
          <xm:sqref>A2:A81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cols>
    <col min="1" max="1" width="40.77734375" customWidth="1"/>
    <col min="2" max="2" width="18.77734375" customWidth="1"/>
  </cols>
  <sheetData>
    <row r="1" spans="1:2" ht="17.399999999999999" x14ac:dyDescent="0.3">
      <c r="A1" s="6" t="s">
        <v>111</v>
      </c>
      <c r="B1" s="5"/>
    </row>
    <row r="3" spans="1:2" x14ac:dyDescent="0.3">
      <c r="A3" s="7" t="s">
        <v>112</v>
      </c>
      <c r="B3" s="7" t="s">
        <v>113</v>
      </c>
    </row>
    <row r="4" spans="1:2" x14ac:dyDescent="0.3">
      <c r="A4" s="2" t="s">
        <v>114</v>
      </c>
      <c r="B4" s="2">
        <f>COUNTA(Spravochnik!$A$2:$A$61)</f>
        <v>15</v>
      </c>
    </row>
    <row r="5" spans="1:2" x14ac:dyDescent="0.3">
      <c r="A5" s="2" t="s">
        <v>0</v>
      </c>
      <c r="B5" s="2">
        <f>COUNTIF(Vydacha!$G$2:$G$81,"Техника")</f>
        <v>3</v>
      </c>
    </row>
    <row r="6" spans="1:2" x14ac:dyDescent="0.3">
      <c r="A6" s="2" t="s">
        <v>1</v>
      </c>
      <c r="B6" s="2">
        <f>COUNTIF(Vydacha!$G$2:$G$81,"Спецодежда")</f>
        <v>4</v>
      </c>
    </row>
    <row r="7" spans="1:2" x14ac:dyDescent="0.3">
      <c r="A7" s="2" t="s">
        <v>2</v>
      </c>
      <c r="B7" s="2">
        <f>COUNTIF(Vydacha!$G$2:$G$81,"Обувь")</f>
        <v>3</v>
      </c>
    </row>
    <row r="8" spans="1:2" x14ac:dyDescent="0.3">
      <c r="A8" s="2" t="s">
        <v>3</v>
      </c>
      <c r="B8" s="2">
        <f>COUNTIF(Vydacha!$G$2:$G$81,"СИЗ")</f>
        <v>3</v>
      </c>
    </row>
    <row r="9" spans="1:2" x14ac:dyDescent="0.3">
      <c r="A9" s="2" t="s">
        <v>4</v>
      </c>
      <c r="B9" s="2">
        <f>COUNTIF(Vydacha!$G$2:$G$81,"Другое")</f>
        <v>2</v>
      </c>
    </row>
    <row r="10" spans="1:2" x14ac:dyDescent="0.3">
      <c r="A10" s="2" t="s">
        <v>115</v>
      </c>
      <c r="B10" s="2">
        <f>COUNTA(Vydacha!$A$2:$A$81)</f>
        <v>15</v>
      </c>
    </row>
    <row r="11" spans="1:2" x14ac:dyDescent="0.3">
      <c r="A11" s="2"/>
      <c r="B11" s="2"/>
    </row>
    <row r="12" spans="1:2" x14ac:dyDescent="0.3">
      <c r="A12" s="2" t="s">
        <v>116</v>
      </c>
      <c r="B12" s="2">
        <f ca="1">COUNTIF(Vydacha!$N$2:$N$81,"Пора менять")</f>
        <v>8</v>
      </c>
    </row>
    <row r="13" spans="1:2" x14ac:dyDescent="0.3">
      <c r="A13" s="2" t="s">
        <v>117</v>
      </c>
      <c r="B13" s="2">
        <f>COUNTIF(Vydacha!$O$2:$O$81,"На замену")</f>
        <v>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6.77734375" customWidth="1"/>
    <col min="2" max="2" width="28.77734375" customWidth="1"/>
    <col min="3" max="3" width="22.77734375" customWidth="1"/>
    <col min="4" max="4" width="26.77734375" customWidth="1"/>
    <col min="5" max="5" width="18.77734375" customWidth="1"/>
    <col min="6" max="6" width="12.77734375" customWidth="1"/>
    <col min="7" max="7" width="14.77734375" customWidth="1"/>
    <col min="8" max="8" width="20.77734375" customWidth="1"/>
  </cols>
  <sheetData>
    <row r="1" spans="1:8" ht="25.95" customHeight="1" x14ac:dyDescent="0.3">
      <c r="A1" s="1" t="s">
        <v>118</v>
      </c>
      <c r="B1" s="1" t="s">
        <v>9</v>
      </c>
      <c r="C1" s="1" t="s">
        <v>12</v>
      </c>
      <c r="D1" s="1" t="s">
        <v>84</v>
      </c>
      <c r="E1" s="1" t="s">
        <v>119</v>
      </c>
      <c r="F1" s="1" t="s">
        <v>86</v>
      </c>
      <c r="G1" s="1" t="s">
        <v>87</v>
      </c>
      <c r="H1" s="1" t="s">
        <v>120</v>
      </c>
    </row>
    <row r="2" spans="1:8" x14ac:dyDescent="0.3">
      <c r="A2" s="2">
        <f>IF(Vydacha!$A2="","",ROW()-1)</f>
        <v>1</v>
      </c>
      <c r="B2" s="2" t="str">
        <f>Vydacha!$A2</f>
        <v>Иванова Анна Петровна</v>
      </c>
      <c r="C2" s="2" t="str">
        <f>Vydacha!$D2</f>
        <v>Главный бухгалтер</v>
      </c>
      <c r="D2" s="2" t="str">
        <f>Vydacha!$H2</f>
        <v>Ноутбук Dell Latitude</v>
      </c>
      <c r="E2" s="2" t="str">
        <f>Vydacha!$I2</f>
        <v>ИНВ-Т-001</v>
      </c>
      <c r="F2" s="3">
        <f>Vydacha!$J2</f>
        <v>1</v>
      </c>
      <c r="G2" s="4">
        <f>IF(Vydacha!$K2="","",Vydacha!$K2)</f>
        <v>45306</v>
      </c>
      <c r="H2" s="2"/>
    </row>
    <row r="3" spans="1:8" x14ac:dyDescent="0.3">
      <c r="A3" s="2">
        <f>IF(Vydacha!$A3="","",ROW()-1)</f>
        <v>2</v>
      </c>
      <c r="B3" s="2" t="str">
        <f>Vydacha!$A3</f>
        <v>Петров Сергей Иванович</v>
      </c>
      <c r="C3" s="2" t="str">
        <f>Vydacha!$D3</f>
        <v>Системный администратор</v>
      </c>
      <c r="D3" s="2" t="str">
        <f>Vydacha!$H3</f>
        <v>Куртка утеплённая</v>
      </c>
      <c r="E3" s="2">
        <f>Vydacha!$I3</f>
        <v>50</v>
      </c>
      <c r="F3" s="3">
        <f>Vydacha!$J3</f>
        <v>1</v>
      </c>
      <c r="G3" s="4">
        <f>IF(Vydacha!$K3="","",Vydacha!$K3)</f>
        <v>45200</v>
      </c>
      <c r="H3" s="2"/>
    </row>
    <row r="4" spans="1:8" x14ac:dyDescent="0.3">
      <c r="A4" s="2">
        <f>IF(Vydacha!$A4="","",ROW()-1)</f>
        <v>3</v>
      </c>
      <c r="B4" s="2" t="str">
        <f>Vydacha!$A4</f>
        <v>Смирнов Виктор Валерьевич</v>
      </c>
      <c r="C4" s="2" t="str">
        <f>Vydacha!$D4</f>
        <v>Водитель</v>
      </c>
      <c r="D4" s="2" t="str">
        <f>Vydacha!$H4</f>
        <v>Ботинки рабочие</v>
      </c>
      <c r="E4" s="2">
        <f>Vydacha!$I4</f>
        <v>45</v>
      </c>
      <c r="F4" s="3">
        <f>Vydacha!$J4</f>
        <v>1</v>
      </c>
      <c r="G4" s="4">
        <f>IF(Vydacha!$K4="","",Vydacha!$K4)</f>
        <v>45170</v>
      </c>
      <c r="H4" s="2"/>
    </row>
    <row r="5" spans="1:8" x14ac:dyDescent="0.3">
      <c r="A5" s="2">
        <f>IF(Vydacha!$A5="","",ROW()-1)</f>
        <v>4</v>
      </c>
      <c r="B5" s="2" t="str">
        <f>Vydacha!$A5</f>
        <v>Соколов Артём Юрьевич</v>
      </c>
      <c r="C5" s="2" t="str">
        <f>Vydacha!$D5</f>
        <v>Кладовщик</v>
      </c>
      <c r="D5" s="2" t="str">
        <f>Vydacha!$H5</f>
        <v>Каска защитная</v>
      </c>
      <c r="E5" s="2">
        <f>Vydacha!$I5</f>
        <v>45</v>
      </c>
      <c r="F5" s="3">
        <f>Vydacha!$J5</f>
        <v>1</v>
      </c>
      <c r="G5" s="4">
        <f>IF(Vydacha!$K5="","",Vydacha!$K5)</f>
        <v>45047</v>
      </c>
      <c r="H5" s="2"/>
    </row>
    <row r="6" spans="1:8" x14ac:dyDescent="0.3">
      <c r="A6" s="2">
        <f>IF(Vydacha!$A6="","",ROW()-1)</f>
        <v>5</v>
      </c>
      <c r="B6" s="2" t="str">
        <f>Vydacha!$A6</f>
        <v>Волкова Елена Николаевна</v>
      </c>
      <c r="C6" s="2" t="str">
        <f>Vydacha!$D6</f>
        <v>Завхоз</v>
      </c>
      <c r="D6" s="2" t="str">
        <f>Vydacha!$H6</f>
        <v>Халат рабочий</v>
      </c>
      <c r="E6" s="2">
        <f>Vydacha!$I6</f>
        <v>48</v>
      </c>
      <c r="F6" s="3">
        <f>Vydacha!$J6</f>
        <v>2</v>
      </c>
      <c r="G6" s="4">
        <f>IF(Vydacha!$K6="","",Vydacha!$K6)</f>
        <v>45444</v>
      </c>
      <c r="H6" s="2"/>
    </row>
    <row r="7" spans="1:8" x14ac:dyDescent="0.3">
      <c r="A7" s="2">
        <f>IF(Vydacha!$A7="","",ROW()-1)</f>
        <v>6</v>
      </c>
      <c r="B7" s="2" t="str">
        <f>Vydacha!$A7</f>
        <v>Никитин Павел Романович</v>
      </c>
      <c r="C7" s="2" t="str">
        <f>Vydacha!$D7</f>
        <v>Программист</v>
      </c>
      <c r="D7" s="2" t="str">
        <f>Vydacha!$H7</f>
        <v>Монитор Samsung</v>
      </c>
      <c r="E7" s="2" t="str">
        <f>Vydacha!$I7</f>
        <v>ИНВ-Т-002</v>
      </c>
      <c r="F7" s="3">
        <f>Vydacha!$J7</f>
        <v>1</v>
      </c>
      <c r="G7" s="4">
        <f>IF(Vydacha!$K7="","",Vydacha!$K7)</f>
        <v>45241</v>
      </c>
      <c r="H7" s="2"/>
    </row>
    <row r="8" spans="1:8" x14ac:dyDescent="0.3">
      <c r="A8" s="2">
        <f>IF(Vydacha!$A8="","",ROW()-1)</f>
        <v>7</v>
      </c>
      <c r="B8" s="2" t="str">
        <f>Vydacha!$A8</f>
        <v>Морозова Ирина Сергеевна</v>
      </c>
      <c r="C8" s="2" t="str">
        <f>Vydacha!$D8</f>
        <v>Офис-менеджер</v>
      </c>
      <c r="D8" s="2" t="str">
        <f>Vydacha!$H8</f>
        <v>Канцелярский набор</v>
      </c>
      <c r="E8" s="2" t="str">
        <f>Vydacha!$I8</f>
        <v>-</v>
      </c>
      <c r="F8" s="3">
        <f>Vydacha!$J8</f>
        <v>1</v>
      </c>
      <c r="G8" s="4">
        <f>IF(Vydacha!$K8="","",Vydacha!$K8)</f>
        <v>45667</v>
      </c>
      <c r="H8" s="2"/>
    </row>
    <row r="9" spans="1:8" x14ac:dyDescent="0.3">
      <c r="A9" s="2">
        <f>IF(Vydacha!$A9="","",ROW()-1)</f>
        <v>8</v>
      </c>
      <c r="B9" s="2" t="str">
        <f>Vydacha!$A9</f>
        <v>Козлова Мария Дмитриевна</v>
      </c>
      <c r="C9" s="2" t="str">
        <f>Vydacha!$D9</f>
        <v>Бухгалтер</v>
      </c>
      <c r="D9" s="2" t="str">
        <f>Vydacha!$H9</f>
        <v>Туфли офисные</v>
      </c>
      <c r="E9" s="2">
        <f>Vydacha!$I9</f>
        <v>38</v>
      </c>
      <c r="F9" s="3">
        <f>Vydacha!$J9</f>
        <v>1</v>
      </c>
      <c r="G9" s="4">
        <f>IF(Vydacha!$K9="","",Vydacha!$K9)</f>
        <v>45352</v>
      </c>
      <c r="H9" s="2"/>
    </row>
    <row r="10" spans="1:8" x14ac:dyDescent="0.3">
      <c r="A10" s="2">
        <f>IF(Vydacha!$A10="","",ROW()-1)</f>
        <v>9</v>
      </c>
      <c r="B10" s="2" t="str">
        <f>Vydacha!$A10</f>
        <v>Новиков Андрей Олегович</v>
      </c>
      <c r="C10" s="2" t="str">
        <f>Vydacha!$D10</f>
        <v>Разнорабочий</v>
      </c>
      <c r="D10" s="2" t="str">
        <f>Vydacha!$H10</f>
        <v>Перчатки защитные</v>
      </c>
      <c r="E10" s="2">
        <f>Vydacha!$I10</f>
        <v>52</v>
      </c>
      <c r="F10" s="3">
        <f>Vydacha!$J10</f>
        <v>5</v>
      </c>
      <c r="G10" s="4">
        <f>IF(Vydacha!$K10="","",Vydacha!$K10)</f>
        <v>45809</v>
      </c>
      <c r="H10" s="2"/>
    </row>
    <row r="11" spans="1:8" x14ac:dyDescent="0.3">
      <c r="A11" s="2">
        <f>IF(Vydacha!$A11="","",ROW()-1)</f>
        <v>10</v>
      </c>
      <c r="B11" s="2" t="str">
        <f>Vydacha!$A11</f>
        <v>Фёдорова Светлана Игоревна</v>
      </c>
      <c r="C11" s="2" t="str">
        <f>Vydacha!$D11</f>
        <v>Менеджер по продажам</v>
      </c>
      <c r="D11" s="2" t="str">
        <f>Vydacha!$H11</f>
        <v>Жилет сигнальный</v>
      </c>
      <c r="E11" s="2">
        <f>Vydacha!$I11</f>
        <v>44</v>
      </c>
      <c r="F11" s="3">
        <f>Vydacha!$J11</f>
        <v>1</v>
      </c>
      <c r="G11" s="4">
        <f>IF(Vydacha!$K11="","",Vydacha!$K11)</f>
        <v>45762</v>
      </c>
      <c r="H11" s="2"/>
    </row>
    <row r="12" spans="1:8" x14ac:dyDescent="0.3">
      <c r="A12" s="2">
        <f>IF(Vydacha!$A12="","",ROW()-1)</f>
        <v>11</v>
      </c>
      <c r="B12" s="2" t="str">
        <f>Vydacha!$A12</f>
        <v>Захаров Игорь Валентинович</v>
      </c>
      <c r="C12" s="2" t="str">
        <f>Vydacha!$D12</f>
        <v>Грузчик</v>
      </c>
      <c r="D12" s="2" t="str">
        <f>Vydacha!$H12</f>
        <v>Сапоги рабочие</v>
      </c>
      <c r="E12" s="2">
        <f>Vydacha!$I12</f>
        <v>44</v>
      </c>
      <c r="F12" s="3">
        <f>Vydacha!$J12</f>
        <v>1</v>
      </c>
      <c r="G12" s="4">
        <f>IF(Vydacha!$K12="","",Vydacha!$K12)</f>
        <v>45962</v>
      </c>
      <c r="H12" s="2"/>
    </row>
    <row r="13" spans="1:8" x14ac:dyDescent="0.3">
      <c r="A13" s="2">
        <f>IF(Vydacha!$A13="","",ROW()-1)</f>
        <v>12</v>
      </c>
      <c r="B13" s="2" t="str">
        <f>Vydacha!$A13</f>
        <v>Белова Татьяна Андреевна</v>
      </c>
      <c r="C13" s="2" t="str">
        <f>Vydacha!$D13</f>
        <v>Кассир</v>
      </c>
      <c r="D13" s="2" t="str">
        <f>Vydacha!$H13</f>
        <v>Клавиатура</v>
      </c>
      <c r="E13" s="2" t="str">
        <f>Vydacha!$I13</f>
        <v>ИНВ-Т-003</v>
      </c>
      <c r="F13" s="3">
        <f>Vydacha!$J13</f>
        <v>1</v>
      </c>
      <c r="G13" s="4">
        <f>IF(Vydacha!$K13="","",Vydacha!$K13)</f>
        <v>45524</v>
      </c>
      <c r="H13" s="2"/>
    </row>
    <row r="14" spans="1:8" x14ac:dyDescent="0.3">
      <c r="A14" s="2">
        <f>IF(Vydacha!$A14="","",ROW()-1)</f>
        <v>13</v>
      </c>
      <c r="B14" s="2" t="str">
        <f>Vydacha!$A14</f>
        <v>Иванова Анна Петровна</v>
      </c>
      <c r="C14" s="2" t="str">
        <f>Vydacha!$D14</f>
        <v>Главный бухгалтер</v>
      </c>
      <c r="D14" s="2" t="str">
        <f>Vydacha!$H14</f>
        <v>Респиратор</v>
      </c>
      <c r="E14" s="2" t="str">
        <f>Vydacha!$I14</f>
        <v>-</v>
      </c>
      <c r="F14" s="3">
        <f>Vydacha!$J14</f>
        <v>3</v>
      </c>
      <c r="G14" s="4">
        <f>IF(Vydacha!$K14="","",Vydacha!$K14)</f>
        <v>46054</v>
      </c>
      <c r="H14" s="2"/>
    </row>
    <row r="15" spans="1:8" x14ac:dyDescent="0.3">
      <c r="A15" s="2">
        <f>IF(Vydacha!$A15="","",ROW()-1)</f>
        <v>14</v>
      </c>
      <c r="B15" s="2" t="str">
        <f>Vydacha!$A15</f>
        <v>Кузнецов Дмитрий Александрович</v>
      </c>
      <c r="C15" s="2" t="str">
        <f>Vydacha!$D15</f>
        <v>Менеджер по продажам</v>
      </c>
      <c r="D15" s="2" t="str">
        <f>Vydacha!$H15</f>
        <v>Костюм рабочий</v>
      </c>
      <c r="E15" s="2">
        <f>Vydacha!$I15</f>
        <v>52</v>
      </c>
      <c r="F15" s="3">
        <f>Vydacha!$J15</f>
        <v>1</v>
      </c>
      <c r="G15" s="4">
        <f>IF(Vydacha!$K15="","",Vydacha!$K15)</f>
        <v>44682</v>
      </c>
      <c r="H15" s="2"/>
    </row>
    <row r="16" spans="1:8" x14ac:dyDescent="0.3">
      <c r="A16" s="2">
        <f>IF(Vydacha!$A16="","",ROW()-1)</f>
        <v>15</v>
      </c>
      <c r="B16" s="2" t="str">
        <f>Vydacha!$A16</f>
        <v>Егорова Наталья Михайловна</v>
      </c>
      <c r="C16" s="2" t="str">
        <f>Vydacha!$D16</f>
        <v>Администратор</v>
      </c>
      <c r="D16" s="2" t="str">
        <f>Vydacha!$H16</f>
        <v>Бейдж</v>
      </c>
      <c r="E16" s="2" t="str">
        <f>Vydacha!$I16</f>
        <v>-</v>
      </c>
      <c r="F16" s="3">
        <f>Vydacha!$J16</f>
        <v>1</v>
      </c>
      <c r="G16" s="4">
        <f>IF(Vydacha!$K16="","",Vydacha!$K16)</f>
        <v>45658</v>
      </c>
      <c r="H16" s="2"/>
    </row>
    <row r="17" spans="1:8" x14ac:dyDescent="0.3">
      <c r="A17" s="2" t="str">
        <f>IF(Vydacha!$A17="","",ROW()-1)</f>
        <v/>
      </c>
      <c r="B17" s="2">
        <f>Vydacha!$A17</f>
        <v>0</v>
      </c>
      <c r="C17" s="2" t="str">
        <f>Vydacha!$D17</f>
        <v/>
      </c>
      <c r="D17" s="2">
        <f>Vydacha!$H17</f>
        <v>0</v>
      </c>
      <c r="E17" s="2">
        <f>Vydacha!$I17</f>
        <v>0</v>
      </c>
      <c r="F17" s="3">
        <f>Vydacha!$J17</f>
        <v>0</v>
      </c>
      <c r="G17" s="4" t="str">
        <f>IF(Vydacha!$K17="","",Vydacha!$K17)</f>
        <v/>
      </c>
      <c r="H17" s="2"/>
    </row>
    <row r="18" spans="1:8" x14ac:dyDescent="0.3">
      <c r="A18" s="2" t="str">
        <f>IF(Vydacha!$A18="","",ROW()-1)</f>
        <v/>
      </c>
      <c r="B18" s="2">
        <f>Vydacha!$A18</f>
        <v>0</v>
      </c>
      <c r="C18" s="2" t="str">
        <f>Vydacha!$D18</f>
        <v/>
      </c>
      <c r="D18" s="2">
        <f>Vydacha!$H18</f>
        <v>0</v>
      </c>
      <c r="E18" s="2">
        <f>Vydacha!$I18</f>
        <v>0</v>
      </c>
      <c r="F18" s="3">
        <f>Vydacha!$J18</f>
        <v>0</v>
      </c>
      <c r="G18" s="4" t="str">
        <f>IF(Vydacha!$K18="","",Vydacha!$K18)</f>
        <v/>
      </c>
      <c r="H18" s="2"/>
    </row>
    <row r="19" spans="1:8" x14ac:dyDescent="0.3">
      <c r="A19" s="2" t="str">
        <f>IF(Vydacha!$A19="","",ROW()-1)</f>
        <v/>
      </c>
      <c r="B19" s="2">
        <f>Vydacha!$A19</f>
        <v>0</v>
      </c>
      <c r="C19" s="2" t="str">
        <f>Vydacha!$D19</f>
        <v/>
      </c>
      <c r="D19" s="2">
        <f>Vydacha!$H19</f>
        <v>0</v>
      </c>
      <c r="E19" s="2">
        <f>Vydacha!$I19</f>
        <v>0</v>
      </c>
      <c r="F19" s="3">
        <f>Vydacha!$J19</f>
        <v>0</v>
      </c>
      <c r="G19" s="4" t="str">
        <f>IF(Vydacha!$K19="","",Vydacha!$K19)</f>
        <v/>
      </c>
      <c r="H19" s="2"/>
    </row>
    <row r="20" spans="1:8" x14ac:dyDescent="0.3">
      <c r="A20" s="2" t="str">
        <f>IF(Vydacha!$A20="","",ROW()-1)</f>
        <v/>
      </c>
      <c r="B20" s="2">
        <f>Vydacha!$A20</f>
        <v>0</v>
      </c>
      <c r="C20" s="2" t="str">
        <f>Vydacha!$D20</f>
        <v/>
      </c>
      <c r="D20" s="2">
        <f>Vydacha!$H20</f>
        <v>0</v>
      </c>
      <c r="E20" s="2">
        <f>Vydacha!$I20</f>
        <v>0</v>
      </c>
      <c r="F20" s="3">
        <f>Vydacha!$J20</f>
        <v>0</v>
      </c>
      <c r="G20" s="4" t="str">
        <f>IF(Vydacha!$K20="","",Vydacha!$K20)</f>
        <v/>
      </c>
      <c r="H20" s="2"/>
    </row>
    <row r="21" spans="1:8" x14ac:dyDescent="0.3">
      <c r="A21" s="2" t="str">
        <f>IF(Vydacha!$A21="","",ROW()-1)</f>
        <v/>
      </c>
      <c r="B21" s="2">
        <f>Vydacha!$A21</f>
        <v>0</v>
      </c>
      <c r="C21" s="2" t="str">
        <f>Vydacha!$D21</f>
        <v/>
      </c>
      <c r="D21" s="2">
        <f>Vydacha!$H21</f>
        <v>0</v>
      </c>
      <c r="E21" s="2">
        <f>Vydacha!$I21</f>
        <v>0</v>
      </c>
      <c r="F21" s="3">
        <f>Vydacha!$J21</f>
        <v>0</v>
      </c>
      <c r="G21" s="4" t="str">
        <f>IF(Vydacha!$K21="","",Vydacha!$K21)</f>
        <v/>
      </c>
      <c r="H21" s="2"/>
    </row>
    <row r="22" spans="1:8" x14ac:dyDescent="0.3">
      <c r="A22" s="2" t="str">
        <f>IF(Vydacha!$A22="","",ROW()-1)</f>
        <v/>
      </c>
      <c r="B22" s="2">
        <f>Vydacha!$A22</f>
        <v>0</v>
      </c>
      <c r="C22" s="2" t="str">
        <f>Vydacha!$D22</f>
        <v/>
      </c>
      <c r="D22" s="2">
        <f>Vydacha!$H22</f>
        <v>0</v>
      </c>
      <c r="E22" s="2">
        <f>Vydacha!$I22</f>
        <v>0</v>
      </c>
      <c r="F22" s="3">
        <f>Vydacha!$J22</f>
        <v>0</v>
      </c>
      <c r="G22" s="4" t="str">
        <f>IF(Vydacha!$K22="","",Vydacha!$K22)</f>
        <v/>
      </c>
      <c r="H22" s="2"/>
    </row>
    <row r="23" spans="1:8" x14ac:dyDescent="0.3">
      <c r="A23" s="2" t="str">
        <f>IF(Vydacha!$A23="","",ROW()-1)</f>
        <v/>
      </c>
      <c r="B23" s="2">
        <f>Vydacha!$A23</f>
        <v>0</v>
      </c>
      <c r="C23" s="2" t="str">
        <f>Vydacha!$D23</f>
        <v/>
      </c>
      <c r="D23" s="2">
        <f>Vydacha!$H23</f>
        <v>0</v>
      </c>
      <c r="E23" s="2">
        <f>Vydacha!$I23</f>
        <v>0</v>
      </c>
      <c r="F23" s="3">
        <f>Vydacha!$J23</f>
        <v>0</v>
      </c>
      <c r="G23" s="4" t="str">
        <f>IF(Vydacha!$K23="","",Vydacha!$K23)</f>
        <v/>
      </c>
      <c r="H23" s="2"/>
    </row>
    <row r="24" spans="1:8" x14ac:dyDescent="0.3">
      <c r="A24" s="2" t="str">
        <f>IF(Vydacha!$A24="","",ROW()-1)</f>
        <v/>
      </c>
      <c r="B24" s="2">
        <f>Vydacha!$A24</f>
        <v>0</v>
      </c>
      <c r="C24" s="2" t="str">
        <f>Vydacha!$D24</f>
        <v/>
      </c>
      <c r="D24" s="2">
        <f>Vydacha!$H24</f>
        <v>0</v>
      </c>
      <c r="E24" s="2">
        <f>Vydacha!$I24</f>
        <v>0</v>
      </c>
      <c r="F24" s="3">
        <f>Vydacha!$J24</f>
        <v>0</v>
      </c>
      <c r="G24" s="4" t="str">
        <f>IF(Vydacha!$K24="","",Vydacha!$K24)</f>
        <v/>
      </c>
      <c r="H24" s="2"/>
    </row>
    <row r="25" spans="1:8" x14ac:dyDescent="0.3">
      <c r="A25" s="2" t="str">
        <f>IF(Vydacha!$A25="","",ROW()-1)</f>
        <v/>
      </c>
      <c r="B25" s="2">
        <f>Vydacha!$A25</f>
        <v>0</v>
      </c>
      <c r="C25" s="2" t="str">
        <f>Vydacha!$D25</f>
        <v/>
      </c>
      <c r="D25" s="2">
        <f>Vydacha!$H25</f>
        <v>0</v>
      </c>
      <c r="E25" s="2">
        <f>Vydacha!$I25</f>
        <v>0</v>
      </c>
      <c r="F25" s="3">
        <f>Vydacha!$J25</f>
        <v>0</v>
      </c>
      <c r="G25" s="4" t="str">
        <f>IF(Vydacha!$K25="","",Vydacha!$K25)</f>
        <v/>
      </c>
      <c r="H25" s="2"/>
    </row>
    <row r="26" spans="1:8" x14ac:dyDescent="0.3">
      <c r="A26" s="2" t="str">
        <f>IF(Vydacha!$A26="","",ROW()-1)</f>
        <v/>
      </c>
      <c r="B26" s="2">
        <f>Vydacha!$A26</f>
        <v>0</v>
      </c>
      <c r="C26" s="2" t="str">
        <f>Vydacha!$D26</f>
        <v/>
      </c>
      <c r="D26" s="2">
        <f>Vydacha!$H26</f>
        <v>0</v>
      </c>
      <c r="E26" s="2">
        <f>Vydacha!$I26</f>
        <v>0</v>
      </c>
      <c r="F26" s="3">
        <f>Vydacha!$J26</f>
        <v>0</v>
      </c>
      <c r="G26" s="4" t="str">
        <f>IF(Vydacha!$K26="","",Vydacha!$K26)</f>
        <v/>
      </c>
      <c r="H26" s="2"/>
    </row>
    <row r="27" spans="1:8" x14ac:dyDescent="0.3">
      <c r="A27" s="2" t="str">
        <f>IF(Vydacha!$A27="","",ROW()-1)</f>
        <v/>
      </c>
      <c r="B27" s="2">
        <f>Vydacha!$A27</f>
        <v>0</v>
      </c>
      <c r="C27" s="2" t="str">
        <f>Vydacha!$D27</f>
        <v/>
      </c>
      <c r="D27" s="2">
        <f>Vydacha!$H27</f>
        <v>0</v>
      </c>
      <c r="E27" s="2">
        <f>Vydacha!$I27</f>
        <v>0</v>
      </c>
      <c r="F27" s="3">
        <f>Vydacha!$J27</f>
        <v>0</v>
      </c>
      <c r="G27" s="4" t="str">
        <f>IF(Vydacha!$K27="","",Vydacha!$K27)</f>
        <v/>
      </c>
      <c r="H27" s="2"/>
    </row>
    <row r="28" spans="1:8" x14ac:dyDescent="0.3">
      <c r="A28" s="2" t="str">
        <f>IF(Vydacha!$A28="","",ROW()-1)</f>
        <v/>
      </c>
      <c r="B28" s="2">
        <f>Vydacha!$A28</f>
        <v>0</v>
      </c>
      <c r="C28" s="2" t="str">
        <f>Vydacha!$D28</f>
        <v/>
      </c>
      <c r="D28" s="2">
        <f>Vydacha!$H28</f>
        <v>0</v>
      </c>
      <c r="E28" s="2">
        <f>Vydacha!$I28</f>
        <v>0</v>
      </c>
      <c r="F28" s="3">
        <f>Vydacha!$J28</f>
        <v>0</v>
      </c>
      <c r="G28" s="4" t="str">
        <f>IF(Vydacha!$K28="","",Vydacha!$K28)</f>
        <v/>
      </c>
      <c r="H28" s="2"/>
    </row>
    <row r="29" spans="1:8" x14ac:dyDescent="0.3">
      <c r="A29" s="2" t="str">
        <f>IF(Vydacha!$A29="","",ROW()-1)</f>
        <v/>
      </c>
      <c r="B29" s="2">
        <f>Vydacha!$A29</f>
        <v>0</v>
      </c>
      <c r="C29" s="2" t="str">
        <f>Vydacha!$D29</f>
        <v/>
      </c>
      <c r="D29" s="2">
        <f>Vydacha!$H29</f>
        <v>0</v>
      </c>
      <c r="E29" s="2">
        <f>Vydacha!$I29</f>
        <v>0</v>
      </c>
      <c r="F29" s="3">
        <f>Vydacha!$J29</f>
        <v>0</v>
      </c>
      <c r="G29" s="4" t="str">
        <f>IF(Vydacha!$K29="","",Vydacha!$K29)</f>
        <v/>
      </c>
      <c r="H29" s="2"/>
    </row>
    <row r="30" spans="1:8" x14ac:dyDescent="0.3">
      <c r="A30" s="2" t="str">
        <f>IF(Vydacha!$A30="","",ROW()-1)</f>
        <v/>
      </c>
      <c r="B30" s="2">
        <f>Vydacha!$A30</f>
        <v>0</v>
      </c>
      <c r="C30" s="2" t="str">
        <f>Vydacha!$D30</f>
        <v/>
      </c>
      <c r="D30" s="2">
        <f>Vydacha!$H30</f>
        <v>0</v>
      </c>
      <c r="E30" s="2">
        <f>Vydacha!$I30</f>
        <v>0</v>
      </c>
      <c r="F30" s="3">
        <f>Vydacha!$J30</f>
        <v>0</v>
      </c>
      <c r="G30" s="4" t="str">
        <f>IF(Vydacha!$K30="","",Vydacha!$K30)</f>
        <v/>
      </c>
      <c r="H30" s="2"/>
    </row>
    <row r="31" spans="1:8" x14ac:dyDescent="0.3">
      <c r="A31" s="2" t="str">
        <f>IF(Vydacha!$A31="","",ROW()-1)</f>
        <v/>
      </c>
      <c r="B31" s="2">
        <f>Vydacha!$A31</f>
        <v>0</v>
      </c>
      <c r="C31" s="2" t="str">
        <f>Vydacha!$D31</f>
        <v/>
      </c>
      <c r="D31" s="2">
        <f>Vydacha!$H31</f>
        <v>0</v>
      </c>
      <c r="E31" s="2">
        <f>Vydacha!$I31</f>
        <v>0</v>
      </c>
      <c r="F31" s="3">
        <f>Vydacha!$J31</f>
        <v>0</v>
      </c>
      <c r="G31" s="4" t="str">
        <f>IF(Vydacha!$K31="","",Vydacha!$K31)</f>
        <v/>
      </c>
      <c r="H31" s="2"/>
    </row>
    <row r="32" spans="1:8" x14ac:dyDescent="0.3">
      <c r="A32" s="2" t="str">
        <f>IF(Vydacha!$A32="","",ROW()-1)</f>
        <v/>
      </c>
      <c r="B32" s="2">
        <f>Vydacha!$A32</f>
        <v>0</v>
      </c>
      <c r="C32" s="2" t="str">
        <f>Vydacha!$D32</f>
        <v/>
      </c>
      <c r="D32" s="2">
        <f>Vydacha!$H32</f>
        <v>0</v>
      </c>
      <c r="E32" s="2">
        <f>Vydacha!$I32</f>
        <v>0</v>
      </c>
      <c r="F32" s="3">
        <f>Vydacha!$J32</f>
        <v>0</v>
      </c>
      <c r="G32" s="4" t="str">
        <f>IF(Vydacha!$K32="","",Vydacha!$K32)</f>
        <v/>
      </c>
      <c r="H32" s="2"/>
    </row>
    <row r="33" spans="1:8" x14ac:dyDescent="0.3">
      <c r="A33" s="2" t="str">
        <f>IF(Vydacha!$A33="","",ROW()-1)</f>
        <v/>
      </c>
      <c r="B33" s="2">
        <f>Vydacha!$A33</f>
        <v>0</v>
      </c>
      <c r="C33" s="2" t="str">
        <f>Vydacha!$D33</f>
        <v/>
      </c>
      <c r="D33" s="2">
        <f>Vydacha!$H33</f>
        <v>0</v>
      </c>
      <c r="E33" s="2">
        <f>Vydacha!$I33</f>
        <v>0</v>
      </c>
      <c r="F33" s="3">
        <f>Vydacha!$J33</f>
        <v>0</v>
      </c>
      <c r="G33" s="4" t="str">
        <f>IF(Vydacha!$K33="","",Vydacha!$K33)</f>
        <v/>
      </c>
      <c r="H33" s="2"/>
    </row>
    <row r="34" spans="1:8" x14ac:dyDescent="0.3">
      <c r="A34" s="2" t="str">
        <f>IF(Vydacha!$A34="","",ROW()-1)</f>
        <v/>
      </c>
      <c r="B34" s="2">
        <f>Vydacha!$A34</f>
        <v>0</v>
      </c>
      <c r="C34" s="2" t="str">
        <f>Vydacha!$D34</f>
        <v/>
      </c>
      <c r="D34" s="2">
        <f>Vydacha!$H34</f>
        <v>0</v>
      </c>
      <c r="E34" s="2">
        <f>Vydacha!$I34</f>
        <v>0</v>
      </c>
      <c r="F34" s="3">
        <f>Vydacha!$J34</f>
        <v>0</v>
      </c>
      <c r="G34" s="4" t="str">
        <f>IF(Vydacha!$K34="","",Vydacha!$K34)</f>
        <v/>
      </c>
      <c r="H34" s="2"/>
    </row>
    <row r="35" spans="1:8" x14ac:dyDescent="0.3">
      <c r="A35" s="2" t="str">
        <f>IF(Vydacha!$A35="","",ROW()-1)</f>
        <v/>
      </c>
      <c r="B35" s="2">
        <f>Vydacha!$A35</f>
        <v>0</v>
      </c>
      <c r="C35" s="2" t="str">
        <f>Vydacha!$D35</f>
        <v/>
      </c>
      <c r="D35" s="2">
        <f>Vydacha!$H35</f>
        <v>0</v>
      </c>
      <c r="E35" s="2">
        <f>Vydacha!$I35</f>
        <v>0</v>
      </c>
      <c r="F35" s="3">
        <f>Vydacha!$J35</f>
        <v>0</v>
      </c>
      <c r="G35" s="4" t="str">
        <f>IF(Vydacha!$K35="","",Vydacha!$K35)</f>
        <v/>
      </c>
      <c r="H35" s="2"/>
    </row>
    <row r="36" spans="1:8" x14ac:dyDescent="0.3">
      <c r="A36" s="2" t="str">
        <f>IF(Vydacha!$A36="","",ROW()-1)</f>
        <v/>
      </c>
      <c r="B36" s="2">
        <f>Vydacha!$A36</f>
        <v>0</v>
      </c>
      <c r="C36" s="2" t="str">
        <f>Vydacha!$D36</f>
        <v/>
      </c>
      <c r="D36" s="2">
        <f>Vydacha!$H36</f>
        <v>0</v>
      </c>
      <c r="E36" s="2">
        <f>Vydacha!$I36</f>
        <v>0</v>
      </c>
      <c r="F36" s="3">
        <f>Vydacha!$J36</f>
        <v>0</v>
      </c>
      <c r="G36" s="4" t="str">
        <f>IF(Vydacha!$K36="","",Vydacha!$K36)</f>
        <v/>
      </c>
      <c r="H36" s="2"/>
    </row>
    <row r="37" spans="1:8" x14ac:dyDescent="0.3">
      <c r="A37" s="2" t="str">
        <f>IF(Vydacha!$A37="","",ROW()-1)</f>
        <v/>
      </c>
      <c r="B37" s="2">
        <f>Vydacha!$A37</f>
        <v>0</v>
      </c>
      <c r="C37" s="2" t="str">
        <f>Vydacha!$D37</f>
        <v/>
      </c>
      <c r="D37" s="2">
        <f>Vydacha!$H37</f>
        <v>0</v>
      </c>
      <c r="E37" s="2">
        <f>Vydacha!$I37</f>
        <v>0</v>
      </c>
      <c r="F37" s="3">
        <f>Vydacha!$J37</f>
        <v>0</v>
      </c>
      <c r="G37" s="4" t="str">
        <f>IF(Vydacha!$K37="","",Vydacha!$K37)</f>
        <v/>
      </c>
      <c r="H37" s="2"/>
    </row>
    <row r="38" spans="1:8" x14ac:dyDescent="0.3">
      <c r="A38" s="2" t="str">
        <f>IF(Vydacha!$A38="","",ROW()-1)</f>
        <v/>
      </c>
      <c r="B38" s="2">
        <f>Vydacha!$A38</f>
        <v>0</v>
      </c>
      <c r="C38" s="2" t="str">
        <f>Vydacha!$D38</f>
        <v/>
      </c>
      <c r="D38" s="2">
        <f>Vydacha!$H38</f>
        <v>0</v>
      </c>
      <c r="E38" s="2">
        <f>Vydacha!$I38</f>
        <v>0</v>
      </c>
      <c r="F38" s="3">
        <f>Vydacha!$J38</f>
        <v>0</v>
      </c>
      <c r="G38" s="4" t="str">
        <f>IF(Vydacha!$K38="","",Vydacha!$K38)</f>
        <v/>
      </c>
      <c r="H38" s="2"/>
    </row>
    <row r="39" spans="1:8" x14ac:dyDescent="0.3">
      <c r="A39" s="2" t="str">
        <f>IF(Vydacha!$A39="","",ROW()-1)</f>
        <v/>
      </c>
      <c r="B39" s="2">
        <f>Vydacha!$A39</f>
        <v>0</v>
      </c>
      <c r="C39" s="2" t="str">
        <f>Vydacha!$D39</f>
        <v/>
      </c>
      <c r="D39" s="2">
        <f>Vydacha!$H39</f>
        <v>0</v>
      </c>
      <c r="E39" s="2">
        <f>Vydacha!$I39</f>
        <v>0</v>
      </c>
      <c r="F39" s="3">
        <f>Vydacha!$J39</f>
        <v>0</v>
      </c>
      <c r="G39" s="4" t="str">
        <f>IF(Vydacha!$K39="","",Vydacha!$K39)</f>
        <v/>
      </c>
      <c r="H39" s="2"/>
    </row>
    <row r="40" spans="1:8" x14ac:dyDescent="0.3">
      <c r="A40" s="2" t="str">
        <f>IF(Vydacha!$A40="","",ROW()-1)</f>
        <v/>
      </c>
      <c r="B40" s="2">
        <f>Vydacha!$A40</f>
        <v>0</v>
      </c>
      <c r="C40" s="2" t="str">
        <f>Vydacha!$D40</f>
        <v/>
      </c>
      <c r="D40" s="2">
        <f>Vydacha!$H40</f>
        <v>0</v>
      </c>
      <c r="E40" s="2">
        <f>Vydacha!$I40</f>
        <v>0</v>
      </c>
      <c r="F40" s="3">
        <f>Vydacha!$J40</f>
        <v>0</v>
      </c>
      <c r="G40" s="4" t="str">
        <f>IF(Vydacha!$K40="","",Vydacha!$K40)</f>
        <v/>
      </c>
      <c r="H40" s="2"/>
    </row>
    <row r="41" spans="1:8" x14ac:dyDescent="0.3">
      <c r="A41" s="2" t="str">
        <f>IF(Vydacha!$A41="","",ROW()-1)</f>
        <v/>
      </c>
      <c r="B41" s="2">
        <f>Vydacha!$A41</f>
        <v>0</v>
      </c>
      <c r="C41" s="2" t="str">
        <f>Vydacha!$D41</f>
        <v/>
      </c>
      <c r="D41" s="2">
        <f>Vydacha!$H41</f>
        <v>0</v>
      </c>
      <c r="E41" s="2">
        <f>Vydacha!$I41</f>
        <v>0</v>
      </c>
      <c r="F41" s="3">
        <f>Vydacha!$J41</f>
        <v>0</v>
      </c>
      <c r="G41" s="4" t="str">
        <f>IF(Vydacha!$K41="","",Vydacha!$K41)</f>
        <v/>
      </c>
      <c r="H41" s="2"/>
    </row>
    <row r="42" spans="1:8" x14ac:dyDescent="0.3">
      <c r="A42" s="2" t="str">
        <f>IF(Vydacha!$A42="","",ROW()-1)</f>
        <v/>
      </c>
      <c r="B42" s="2">
        <f>Vydacha!$A42</f>
        <v>0</v>
      </c>
      <c r="C42" s="2" t="str">
        <f>Vydacha!$D42</f>
        <v/>
      </c>
      <c r="D42" s="2">
        <f>Vydacha!$H42</f>
        <v>0</v>
      </c>
      <c r="E42" s="2">
        <f>Vydacha!$I42</f>
        <v>0</v>
      </c>
      <c r="F42" s="3">
        <f>Vydacha!$J42</f>
        <v>0</v>
      </c>
      <c r="G42" s="4" t="str">
        <f>IF(Vydacha!$K42="","",Vydacha!$K42)</f>
        <v/>
      </c>
      <c r="H42" s="2"/>
    </row>
    <row r="43" spans="1:8" x14ac:dyDescent="0.3">
      <c r="A43" s="2" t="str">
        <f>IF(Vydacha!$A43="","",ROW()-1)</f>
        <v/>
      </c>
      <c r="B43" s="2">
        <f>Vydacha!$A43</f>
        <v>0</v>
      </c>
      <c r="C43" s="2" t="str">
        <f>Vydacha!$D43</f>
        <v/>
      </c>
      <c r="D43" s="2">
        <f>Vydacha!$H43</f>
        <v>0</v>
      </c>
      <c r="E43" s="2">
        <f>Vydacha!$I43</f>
        <v>0</v>
      </c>
      <c r="F43" s="3">
        <f>Vydacha!$J43</f>
        <v>0</v>
      </c>
      <c r="G43" s="4" t="str">
        <f>IF(Vydacha!$K43="","",Vydacha!$K43)</f>
        <v/>
      </c>
      <c r="H43" s="2"/>
    </row>
    <row r="44" spans="1:8" x14ac:dyDescent="0.3">
      <c r="A44" s="2" t="str">
        <f>IF(Vydacha!$A44="","",ROW()-1)</f>
        <v/>
      </c>
      <c r="B44" s="2">
        <f>Vydacha!$A44</f>
        <v>0</v>
      </c>
      <c r="C44" s="2" t="str">
        <f>Vydacha!$D44</f>
        <v/>
      </c>
      <c r="D44" s="2">
        <f>Vydacha!$H44</f>
        <v>0</v>
      </c>
      <c r="E44" s="2">
        <f>Vydacha!$I44</f>
        <v>0</v>
      </c>
      <c r="F44" s="3">
        <f>Vydacha!$J44</f>
        <v>0</v>
      </c>
      <c r="G44" s="4" t="str">
        <f>IF(Vydacha!$K44="","",Vydacha!$K44)</f>
        <v/>
      </c>
      <c r="H44" s="2"/>
    </row>
    <row r="45" spans="1:8" x14ac:dyDescent="0.3">
      <c r="A45" s="2" t="str">
        <f>IF(Vydacha!$A45="","",ROW()-1)</f>
        <v/>
      </c>
      <c r="B45" s="2">
        <f>Vydacha!$A45</f>
        <v>0</v>
      </c>
      <c r="C45" s="2" t="str">
        <f>Vydacha!$D45</f>
        <v/>
      </c>
      <c r="D45" s="2">
        <f>Vydacha!$H45</f>
        <v>0</v>
      </c>
      <c r="E45" s="2">
        <f>Vydacha!$I45</f>
        <v>0</v>
      </c>
      <c r="F45" s="3">
        <f>Vydacha!$J45</f>
        <v>0</v>
      </c>
      <c r="G45" s="4" t="str">
        <f>IF(Vydacha!$K45="","",Vydacha!$K45)</f>
        <v/>
      </c>
      <c r="H45" s="2"/>
    </row>
    <row r="46" spans="1:8" x14ac:dyDescent="0.3">
      <c r="A46" s="2" t="str">
        <f>IF(Vydacha!$A46="","",ROW()-1)</f>
        <v/>
      </c>
      <c r="B46" s="2">
        <f>Vydacha!$A46</f>
        <v>0</v>
      </c>
      <c r="C46" s="2" t="str">
        <f>Vydacha!$D46</f>
        <v/>
      </c>
      <c r="D46" s="2">
        <f>Vydacha!$H46</f>
        <v>0</v>
      </c>
      <c r="E46" s="2">
        <f>Vydacha!$I46</f>
        <v>0</v>
      </c>
      <c r="F46" s="3">
        <f>Vydacha!$J46</f>
        <v>0</v>
      </c>
      <c r="G46" s="4" t="str">
        <f>IF(Vydacha!$K46="","",Vydacha!$K46)</f>
        <v/>
      </c>
      <c r="H46" s="2"/>
    </row>
    <row r="47" spans="1:8" x14ac:dyDescent="0.3">
      <c r="A47" s="2" t="str">
        <f>IF(Vydacha!$A47="","",ROW()-1)</f>
        <v/>
      </c>
      <c r="B47" s="2">
        <f>Vydacha!$A47</f>
        <v>0</v>
      </c>
      <c r="C47" s="2" t="str">
        <f>Vydacha!$D47</f>
        <v/>
      </c>
      <c r="D47" s="2">
        <f>Vydacha!$H47</f>
        <v>0</v>
      </c>
      <c r="E47" s="2">
        <f>Vydacha!$I47</f>
        <v>0</v>
      </c>
      <c r="F47" s="3">
        <f>Vydacha!$J47</f>
        <v>0</v>
      </c>
      <c r="G47" s="4" t="str">
        <f>IF(Vydacha!$K47="","",Vydacha!$K47)</f>
        <v/>
      </c>
      <c r="H47" s="2"/>
    </row>
    <row r="48" spans="1:8" x14ac:dyDescent="0.3">
      <c r="A48" s="2" t="str">
        <f>IF(Vydacha!$A48="","",ROW()-1)</f>
        <v/>
      </c>
      <c r="B48" s="2">
        <f>Vydacha!$A48</f>
        <v>0</v>
      </c>
      <c r="C48" s="2" t="str">
        <f>Vydacha!$D48</f>
        <v/>
      </c>
      <c r="D48" s="2">
        <f>Vydacha!$H48</f>
        <v>0</v>
      </c>
      <c r="E48" s="2">
        <f>Vydacha!$I48</f>
        <v>0</v>
      </c>
      <c r="F48" s="3">
        <f>Vydacha!$J48</f>
        <v>0</v>
      </c>
      <c r="G48" s="4" t="str">
        <f>IF(Vydacha!$K48="","",Vydacha!$K48)</f>
        <v/>
      </c>
      <c r="H48" s="2"/>
    </row>
    <row r="49" spans="1:8" x14ac:dyDescent="0.3">
      <c r="A49" s="2" t="str">
        <f>IF(Vydacha!$A49="","",ROW()-1)</f>
        <v/>
      </c>
      <c r="B49" s="2">
        <f>Vydacha!$A49</f>
        <v>0</v>
      </c>
      <c r="C49" s="2" t="str">
        <f>Vydacha!$D49</f>
        <v/>
      </c>
      <c r="D49" s="2">
        <f>Vydacha!$H49</f>
        <v>0</v>
      </c>
      <c r="E49" s="2">
        <f>Vydacha!$I49</f>
        <v>0</v>
      </c>
      <c r="F49" s="3">
        <f>Vydacha!$J49</f>
        <v>0</v>
      </c>
      <c r="G49" s="4" t="str">
        <f>IF(Vydacha!$K49="","",Vydacha!$K49)</f>
        <v/>
      </c>
      <c r="H49" s="2"/>
    </row>
    <row r="50" spans="1:8" x14ac:dyDescent="0.3">
      <c r="A50" s="2" t="str">
        <f>IF(Vydacha!$A50="","",ROW()-1)</f>
        <v/>
      </c>
      <c r="B50" s="2">
        <f>Vydacha!$A50</f>
        <v>0</v>
      </c>
      <c r="C50" s="2" t="str">
        <f>Vydacha!$D50</f>
        <v/>
      </c>
      <c r="D50" s="2">
        <f>Vydacha!$H50</f>
        <v>0</v>
      </c>
      <c r="E50" s="2">
        <f>Vydacha!$I50</f>
        <v>0</v>
      </c>
      <c r="F50" s="3">
        <f>Vydacha!$J50</f>
        <v>0</v>
      </c>
      <c r="G50" s="4" t="str">
        <f>IF(Vydacha!$K50="","",Vydacha!$K50)</f>
        <v/>
      </c>
      <c r="H50" s="2"/>
    </row>
    <row r="51" spans="1:8" x14ac:dyDescent="0.3">
      <c r="A51" s="2" t="str">
        <f>IF(Vydacha!$A51="","",ROW()-1)</f>
        <v/>
      </c>
      <c r="B51" s="2">
        <f>Vydacha!$A51</f>
        <v>0</v>
      </c>
      <c r="C51" s="2" t="str">
        <f>Vydacha!$D51</f>
        <v/>
      </c>
      <c r="D51" s="2">
        <f>Vydacha!$H51</f>
        <v>0</v>
      </c>
      <c r="E51" s="2">
        <f>Vydacha!$I51</f>
        <v>0</v>
      </c>
      <c r="F51" s="3">
        <f>Vydacha!$J51</f>
        <v>0</v>
      </c>
      <c r="G51" s="4" t="str">
        <f>IF(Vydacha!$K51="","",Vydacha!$K51)</f>
        <v/>
      </c>
      <c r="H51" s="2"/>
    </row>
    <row r="52" spans="1:8" x14ac:dyDescent="0.3">
      <c r="A52" s="2" t="str">
        <f>IF(Vydacha!$A52="","",ROW()-1)</f>
        <v/>
      </c>
      <c r="B52" s="2">
        <f>Vydacha!$A52</f>
        <v>0</v>
      </c>
      <c r="C52" s="2" t="str">
        <f>Vydacha!$D52</f>
        <v/>
      </c>
      <c r="D52" s="2">
        <f>Vydacha!$H52</f>
        <v>0</v>
      </c>
      <c r="E52" s="2">
        <f>Vydacha!$I52</f>
        <v>0</v>
      </c>
      <c r="F52" s="3">
        <f>Vydacha!$J52</f>
        <v>0</v>
      </c>
      <c r="G52" s="4" t="str">
        <f>IF(Vydacha!$K52="","",Vydacha!$K52)</f>
        <v/>
      </c>
      <c r="H52" s="2"/>
    </row>
    <row r="53" spans="1:8" x14ac:dyDescent="0.3">
      <c r="A53" s="2" t="str">
        <f>IF(Vydacha!$A53="","",ROW()-1)</f>
        <v/>
      </c>
      <c r="B53" s="2">
        <f>Vydacha!$A53</f>
        <v>0</v>
      </c>
      <c r="C53" s="2" t="str">
        <f>Vydacha!$D53</f>
        <v/>
      </c>
      <c r="D53" s="2">
        <f>Vydacha!$H53</f>
        <v>0</v>
      </c>
      <c r="E53" s="2">
        <f>Vydacha!$I53</f>
        <v>0</v>
      </c>
      <c r="F53" s="3">
        <f>Vydacha!$J53</f>
        <v>0</v>
      </c>
      <c r="G53" s="4" t="str">
        <f>IF(Vydacha!$K53="","",Vydacha!$K53)</f>
        <v/>
      </c>
      <c r="H53" s="2"/>
    </row>
    <row r="54" spans="1:8" x14ac:dyDescent="0.3">
      <c r="A54" s="2" t="str">
        <f>IF(Vydacha!$A54="","",ROW()-1)</f>
        <v/>
      </c>
      <c r="B54" s="2">
        <f>Vydacha!$A54</f>
        <v>0</v>
      </c>
      <c r="C54" s="2" t="str">
        <f>Vydacha!$D54</f>
        <v/>
      </c>
      <c r="D54" s="2">
        <f>Vydacha!$H54</f>
        <v>0</v>
      </c>
      <c r="E54" s="2">
        <f>Vydacha!$I54</f>
        <v>0</v>
      </c>
      <c r="F54" s="3">
        <f>Vydacha!$J54</f>
        <v>0</v>
      </c>
      <c r="G54" s="4" t="str">
        <f>IF(Vydacha!$K54="","",Vydacha!$K54)</f>
        <v/>
      </c>
      <c r="H54" s="2"/>
    </row>
    <row r="55" spans="1:8" x14ac:dyDescent="0.3">
      <c r="A55" s="2" t="str">
        <f>IF(Vydacha!$A55="","",ROW()-1)</f>
        <v/>
      </c>
      <c r="B55" s="2">
        <f>Vydacha!$A55</f>
        <v>0</v>
      </c>
      <c r="C55" s="2" t="str">
        <f>Vydacha!$D55</f>
        <v/>
      </c>
      <c r="D55" s="2">
        <f>Vydacha!$H55</f>
        <v>0</v>
      </c>
      <c r="E55" s="2">
        <f>Vydacha!$I55</f>
        <v>0</v>
      </c>
      <c r="F55" s="3">
        <f>Vydacha!$J55</f>
        <v>0</v>
      </c>
      <c r="G55" s="4" t="str">
        <f>IF(Vydacha!$K55="","",Vydacha!$K55)</f>
        <v/>
      </c>
      <c r="H55" s="2"/>
    </row>
    <row r="56" spans="1:8" x14ac:dyDescent="0.3">
      <c r="A56" s="2" t="str">
        <f>IF(Vydacha!$A56="","",ROW()-1)</f>
        <v/>
      </c>
      <c r="B56" s="2">
        <f>Vydacha!$A56</f>
        <v>0</v>
      </c>
      <c r="C56" s="2" t="str">
        <f>Vydacha!$D56</f>
        <v/>
      </c>
      <c r="D56" s="2">
        <f>Vydacha!$H56</f>
        <v>0</v>
      </c>
      <c r="E56" s="2">
        <f>Vydacha!$I56</f>
        <v>0</v>
      </c>
      <c r="F56" s="3">
        <f>Vydacha!$J56</f>
        <v>0</v>
      </c>
      <c r="G56" s="4" t="str">
        <f>IF(Vydacha!$K56="","",Vydacha!$K56)</f>
        <v/>
      </c>
      <c r="H56" s="2"/>
    </row>
    <row r="57" spans="1:8" x14ac:dyDescent="0.3">
      <c r="A57" s="2" t="str">
        <f>IF(Vydacha!$A57="","",ROW()-1)</f>
        <v/>
      </c>
      <c r="B57" s="2">
        <f>Vydacha!$A57</f>
        <v>0</v>
      </c>
      <c r="C57" s="2" t="str">
        <f>Vydacha!$D57</f>
        <v/>
      </c>
      <c r="D57" s="2">
        <f>Vydacha!$H57</f>
        <v>0</v>
      </c>
      <c r="E57" s="2">
        <f>Vydacha!$I57</f>
        <v>0</v>
      </c>
      <c r="F57" s="3">
        <f>Vydacha!$J57</f>
        <v>0</v>
      </c>
      <c r="G57" s="4" t="str">
        <f>IF(Vydacha!$K57="","",Vydacha!$K57)</f>
        <v/>
      </c>
      <c r="H57" s="2"/>
    </row>
    <row r="58" spans="1:8" x14ac:dyDescent="0.3">
      <c r="A58" s="2" t="str">
        <f>IF(Vydacha!$A58="","",ROW()-1)</f>
        <v/>
      </c>
      <c r="B58" s="2">
        <f>Vydacha!$A58</f>
        <v>0</v>
      </c>
      <c r="C58" s="2" t="str">
        <f>Vydacha!$D58</f>
        <v/>
      </c>
      <c r="D58" s="2">
        <f>Vydacha!$H58</f>
        <v>0</v>
      </c>
      <c r="E58" s="2">
        <f>Vydacha!$I58</f>
        <v>0</v>
      </c>
      <c r="F58" s="3">
        <f>Vydacha!$J58</f>
        <v>0</v>
      </c>
      <c r="G58" s="4" t="str">
        <f>IF(Vydacha!$K58="","",Vydacha!$K58)</f>
        <v/>
      </c>
      <c r="H58" s="2"/>
    </row>
    <row r="59" spans="1:8" x14ac:dyDescent="0.3">
      <c r="A59" s="2" t="str">
        <f>IF(Vydacha!$A59="","",ROW()-1)</f>
        <v/>
      </c>
      <c r="B59" s="2">
        <f>Vydacha!$A59</f>
        <v>0</v>
      </c>
      <c r="C59" s="2" t="str">
        <f>Vydacha!$D59</f>
        <v/>
      </c>
      <c r="D59" s="2">
        <f>Vydacha!$H59</f>
        <v>0</v>
      </c>
      <c r="E59" s="2">
        <f>Vydacha!$I59</f>
        <v>0</v>
      </c>
      <c r="F59" s="3">
        <f>Vydacha!$J59</f>
        <v>0</v>
      </c>
      <c r="G59" s="4" t="str">
        <f>IF(Vydacha!$K59="","",Vydacha!$K59)</f>
        <v/>
      </c>
      <c r="H59" s="2"/>
    </row>
    <row r="60" spans="1:8" x14ac:dyDescent="0.3">
      <c r="A60" s="2" t="str">
        <f>IF(Vydacha!$A60="","",ROW()-1)</f>
        <v/>
      </c>
      <c r="B60" s="2">
        <f>Vydacha!$A60</f>
        <v>0</v>
      </c>
      <c r="C60" s="2" t="str">
        <f>Vydacha!$D60</f>
        <v/>
      </c>
      <c r="D60" s="2">
        <f>Vydacha!$H60</f>
        <v>0</v>
      </c>
      <c r="E60" s="2">
        <f>Vydacha!$I60</f>
        <v>0</v>
      </c>
      <c r="F60" s="3">
        <f>Vydacha!$J60</f>
        <v>0</v>
      </c>
      <c r="G60" s="4" t="str">
        <f>IF(Vydacha!$K60="","",Vydacha!$K60)</f>
        <v/>
      </c>
      <c r="H60" s="2"/>
    </row>
    <row r="61" spans="1:8" x14ac:dyDescent="0.3">
      <c r="A61" s="2" t="str">
        <f>IF(Vydacha!$A61="","",ROW()-1)</f>
        <v/>
      </c>
      <c r="B61" s="2">
        <f>Vydacha!$A61</f>
        <v>0</v>
      </c>
      <c r="C61" s="2" t="str">
        <f>Vydacha!$D61</f>
        <v/>
      </c>
      <c r="D61" s="2">
        <f>Vydacha!$H61</f>
        <v>0</v>
      </c>
      <c r="E61" s="2">
        <f>Vydacha!$I61</f>
        <v>0</v>
      </c>
      <c r="F61" s="3">
        <f>Vydacha!$J61</f>
        <v>0</v>
      </c>
      <c r="G61" s="4" t="str">
        <f>IF(Vydacha!$K61="","",Vydacha!$K61)</f>
        <v/>
      </c>
      <c r="H61" s="2"/>
    </row>
    <row r="62" spans="1:8" x14ac:dyDescent="0.3">
      <c r="A62" s="2" t="str">
        <f>IF(Vydacha!$A62="","",ROW()-1)</f>
        <v/>
      </c>
      <c r="B62" s="2">
        <f>Vydacha!$A62</f>
        <v>0</v>
      </c>
      <c r="C62" s="2" t="str">
        <f>Vydacha!$D62</f>
        <v/>
      </c>
      <c r="D62" s="2">
        <f>Vydacha!$H62</f>
        <v>0</v>
      </c>
      <c r="E62" s="2">
        <f>Vydacha!$I62</f>
        <v>0</v>
      </c>
      <c r="F62" s="3">
        <f>Vydacha!$J62</f>
        <v>0</v>
      </c>
      <c r="G62" s="4" t="str">
        <f>IF(Vydacha!$K62="","",Vydacha!$K62)</f>
        <v/>
      </c>
      <c r="H62" s="2"/>
    </row>
    <row r="63" spans="1:8" x14ac:dyDescent="0.3">
      <c r="A63" s="2" t="str">
        <f>IF(Vydacha!$A63="","",ROW()-1)</f>
        <v/>
      </c>
      <c r="B63" s="2">
        <f>Vydacha!$A63</f>
        <v>0</v>
      </c>
      <c r="C63" s="2" t="str">
        <f>Vydacha!$D63</f>
        <v/>
      </c>
      <c r="D63" s="2">
        <f>Vydacha!$H63</f>
        <v>0</v>
      </c>
      <c r="E63" s="2">
        <f>Vydacha!$I63</f>
        <v>0</v>
      </c>
      <c r="F63" s="3">
        <f>Vydacha!$J63</f>
        <v>0</v>
      </c>
      <c r="G63" s="4" t="str">
        <f>IF(Vydacha!$K63="","",Vydacha!$K63)</f>
        <v/>
      </c>
      <c r="H63" s="2"/>
    </row>
    <row r="64" spans="1:8" x14ac:dyDescent="0.3">
      <c r="A64" s="2" t="str">
        <f>IF(Vydacha!$A64="","",ROW()-1)</f>
        <v/>
      </c>
      <c r="B64" s="2">
        <f>Vydacha!$A64</f>
        <v>0</v>
      </c>
      <c r="C64" s="2" t="str">
        <f>Vydacha!$D64</f>
        <v/>
      </c>
      <c r="D64" s="2">
        <f>Vydacha!$H64</f>
        <v>0</v>
      </c>
      <c r="E64" s="2">
        <f>Vydacha!$I64</f>
        <v>0</v>
      </c>
      <c r="F64" s="3">
        <f>Vydacha!$J64</f>
        <v>0</v>
      </c>
      <c r="G64" s="4" t="str">
        <f>IF(Vydacha!$K64="","",Vydacha!$K64)</f>
        <v/>
      </c>
      <c r="H64" s="2"/>
    </row>
    <row r="65" spans="1:8" x14ac:dyDescent="0.3">
      <c r="A65" s="2" t="str">
        <f>IF(Vydacha!$A65="","",ROW()-1)</f>
        <v/>
      </c>
      <c r="B65" s="2">
        <f>Vydacha!$A65</f>
        <v>0</v>
      </c>
      <c r="C65" s="2" t="str">
        <f>Vydacha!$D65</f>
        <v/>
      </c>
      <c r="D65" s="2">
        <f>Vydacha!$H65</f>
        <v>0</v>
      </c>
      <c r="E65" s="2">
        <f>Vydacha!$I65</f>
        <v>0</v>
      </c>
      <c r="F65" s="3">
        <f>Vydacha!$J65</f>
        <v>0</v>
      </c>
      <c r="G65" s="4" t="str">
        <f>IF(Vydacha!$K65="","",Vydacha!$K65)</f>
        <v/>
      </c>
      <c r="H65" s="2"/>
    </row>
    <row r="66" spans="1:8" x14ac:dyDescent="0.3">
      <c r="A66" s="2" t="str">
        <f>IF(Vydacha!$A66="","",ROW()-1)</f>
        <v/>
      </c>
      <c r="B66" s="2">
        <f>Vydacha!$A66</f>
        <v>0</v>
      </c>
      <c r="C66" s="2" t="str">
        <f>Vydacha!$D66</f>
        <v/>
      </c>
      <c r="D66" s="2">
        <f>Vydacha!$H66</f>
        <v>0</v>
      </c>
      <c r="E66" s="2">
        <f>Vydacha!$I66</f>
        <v>0</v>
      </c>
      <c r="F66" s="3">
        <f>Vydacha!$J66</f>
        <v>0</v>
      </c>
      <c r="G66" s="4" t="str">
        <f>IF(Vydacha!$K66="","",Vydacha!$K66)</f>
        <v/>
      </c>
      <c r="H66" s="2"/>
    </row>
    <row r="67" spans="1:8" x14ac:dyDescent="0.3">
      <c r="A67" s="2" t="str">
        <f>IF(Vydacha!$A67="","",ROW()-1)</f>
        <v/>
      </c>
      <c r="B67" s="2">
        <f>Vydacha!$A67</f>
        <v>0</v>
      </c>
      <c r="C67" s="2" t="str">
        <f>Vydacha!$D67</f>
        <v/>
      </c>
      <c r="D67" s="2">
        <f>Vydacha!$H67</f>
        <v>0</v>
      </c>
      <c r="E67" s="2">
        <f>Vydacha!$I67</f>
        <v>0</v>
      </c>
      <c r="F67" s="3">
        <f>Vydacha!$J67</f>
        <v>0</v>
      </c>
      <c r="G67" s="4" t="str">
        <f>IF(Vydacha!$K67="","",Vydacha!$K67)</f>
        <v/>
      </c>
      <c r="H67" s="2"/>
    </row>
    <row r="68" spans="1:8" x14ac:dyDescent="0.3">
      <c r="A68" s="2" t="str">
        <f>IF(Vydacha!$A68="","",ROW()-1)</f>
        <v/>
      </c>
      <c r="B68" s="2">
        <f>Vydacha!$A68</f>
        <v>0</v>
      </c>
      <c r="C68" s="2" t="str">
        <f>Vydacha!$D68</f>
        <v/>
      </c>
      <c r="D68" s="2">
        <f>Vydacha!$H68</f>
        <v>0</v>
      </c>
      <c r="E68" s="2">
        <f>Vydacha!$I68</f>
        <v>0</v>
      </c>
      <c r="F68" s="3">
        <f>Vydacha!$J68</f>
        <v>0</v>
      </c>
      <c r="G68" s="4" t="str">
        <f>IF(Vydacha!$K68="","",Vydacha!$K68)</f>
        <v/>
      </c>
      <c r="H68" s="2"/>
    </row>
    <row r="69" spans="1:8" x14ac:dyDescent="0.3">
      <c r="A69" s="2" t="str">
        <f>IF(Vydacha!$A69="","",ROW()-1)</f>
        <v/>
      </c>
      <c r="B69" s="2">
        <f>Vydacha!$A69</f>
        <v>0</v>
      </c>
      <c r="C69" s="2" t="str">
        <f>Vydacha!$D69</f>
        <v/>
      </c>
      <c r="D69" s="2">
        <f>Vydacha!$H69</f>
        <v>0</v>
      </c>
      <c r="E69" s="2">
        <f>Vydacha!$I69</f>
        <v>0</v>
      </c>
      <c r="F69" s="3">
        <f>Vydacha!$J69</f>
        <v>0</v>
      </c>
      <c r="G69" s="4" t="str">
        <f>IF(Vydacha!$K69="","",Vydacha!$K69)</f>
        <v/>
      </c>
      <c r="H69" s="2"/>
    </row>
    <row r="70" spans="1:8" x14ac:dyDescent="0.3">
      <c r="A70" s="2" t="str">
        <f>IF(Vydacha!$A70="","",ROW()-1)</f>
        <v/>
      </c>
      <c r="B70" s="2">
        <f>Vydacha!$A70</f>
        <v>0</v>
      </c>
      <c r="C70" s="2" t="str">
        <f>Vydacha!$D70</f>
        <v/>
      </c>
      <c r="D70" s="2">
        <f>Vydacha!$H70</f>
        <v>0</v>
      </c>
      <c r="E70" s="2">
        <f>Vydacha!$I70</f>
        <v>0</v>
      </c>
      <c r="F70" s="3">
        <f>Vydacha!$J70</f>
        <v>0</v>
      </c>
      <c r="G70" s="4" t="str">
        <f>IF(Vydacha!$K70="","",Vydacha!$K70)</f>
        <v/>
      </c>
      <c r="H70" s="2"/>
    </row>
    <row r="71" spans="1:8" x14ac:dyDescent="0.3">
      <c r="A71" s="2" t="str">
        <f>IF(Vydacha!$A71="","",ROW()-1)</f>
        <v/>
      </c>
      <c r="B71" s="2">
        <f>Vydacha!$A71</f>
        <v>0</v>
      </c>
      <c r="C71" s="2" t="str">
        <f>Vydacha!$D71</f>
        <v/>
      </c>
      <c r="D71" s="2">
        <f>Vydacha!$H71</f>
        <v>0</v>
      </c>
      <c r="E71" s="2">
        <f>Vydacha!$I71</f>
        <v>0</v>
      </c>
      <c r="F71" s="3">
        <f>Vydacha!$J71</f>
        <v>0</v>
      </c>
      <c r="G71" s="4" t="str">
        <f>IF(Vydacha!$K71="","",Vydacha!$K71)</f>
        <v/>
      </c>
      <c r="H71" s="2"/>
    </row>
    <row r="72" spans="1:8" x14ac:dyDescent="0.3">
      <c r="A72" s="2" t="str">
        <f>IF(Vydacha!$A72="","",ROW()-1)</f>
        <v/>
      </c>
      <c r="B72" s="2">
        <f>Vydacha!$A72</f>
        <v>0</v>
      </c>
      <c r="C72" s="2" t="str">
        <f>Vydacha!$D72</f>
        <v/>
      </c>
      <c r="D72" s="2">
        <f>Vydacha!$H72</f>
        <v>0</v>
      </c>
      <c r="E72" s="2">
        <f>Vydacha!$I72</f>
        <v>0</v>
      </c>
      <c r="F72" s="3">
        <f>Vydacha!$J72</f>
        <v>0</v>
      </c>
      <c r="G72" s="4" t="str">
        <f>IF(Vydacha!$K72="","",Vydacha!$K72)</f>
        <v/>
      </c>
      <c r="H72" s="2"/>
    </row>
    <row r="73" spans="1:8" x14ac:dyDescent="0.3">
      <c r="A73" s="2" t="str">
        <f>IF(Vydacha!$A73="","",ROW()-1)</f>
        <v/>
      </c>
      <c r="B73" s="2">
        <f>Vydacha!$A73</f>
        <v>0</v>
      </c>
      <c r="C73" s="2" t="str">
        <f>Vydacha!$D73</f>
        <v/>
      </c>
      <c r="D73" s="2">
        <f>Vydacha!$H73</f>
        <v>0</v>
      </c>
      <c r="E73" s="2">
        <f>Vydacha!$I73</f>
        <v>0</v>
      </c>
      <c r="F73" s="3">
        <f>Vydacha!$J73</f>
        <v>0</v>
      </c>
      <c r="G73" s="4" t="str">
        <f>IF(Vydacha!$K73="","",Vydacha!$K73)</f>
        <v/>
      </c>
      <c r="H73" s="2"/>
    </row>
    <row r="74" spans="1:8" x14ac:dyDescent="0.3">
      <c r="A74" s="2" t="str">
        <f>IF(Vydacha!$A74="","",ROW()-1)</f>
        <v/>
      </c>
      <c r="B74" s="2">
        <f>Vydacha!$A74</f>
        <v>0</v>
      </c>
      <c r="C74" s="2" t="str">
        <f>Vydacha!$D74</f>
        <v/>
      </c>
      <c r="D74" s="2">
        <f>Vydacha!$H74</f>
        <v>0</v>
      </c>
      <c r="E74" s="2">
        <f>Vydacha!$I74</f>
        <v>0</v>
      </c>
      <c r="F74" s="3">
        <f>Vydacha!$J74</f>
        <v>0</v>
      </c>
      <c r="G74" s="4" t="str">
        <f>IF(Vydacha!$K74="","",Vydacha!$K74)</f>
        <v/>
      </c>
      <c r="H74" s="2"/>
    </row>
    <row r="75" spans="1:8" x14ac:dyDescent="0.3">
      <c r="A75" s="2" t="str">
        <f>IF(Vydacha!$A75="","",ROW()-1)</f>
        <v/>
      </c>
      <c r="B75" s="2">
        <f>Vydacha!$A75</f>
        <v>0</v>
      </c>
      <c r="C75" s="2" t="str">
        <f>Vydacha!$D75</f>
        <v/>
      </c>
      <c r="D75" s="2">
        <f>Vydacha!$H75</f>
        <v>0</v>
      </c>
      <c r="E75" s="2">
        <f>Vydacha!$I75</f>
        <v>0</v>
      </c>
      <c r="F75" s="3">
        <f>Vydacha!$J75</f>
        <v>0</v>
      </c>
      <c r="G75" s="4" t="str">
        <f>IF(Vydacha!$K75="","",Vydacha!$K75)</f>
        <v/>
      </c>
      <c r="H75" s="2"/>
    </row>
    <row r="76" spans="1:8" x14ac:dyDescent="0.3">
      <c r="A76" s="2" t="str">
        <f>IF(Vydacha!$A76="","",ROW()-1)</f>
        <v/>
      </c>
      <c r="B76" s="2">
        <f>Vydacha!$A76</f>
        <v>0</v>
      </c>
      <c r="C76" s="2" t="str">
        <f>Vydacha!$D76</f>
        <v/>
      </c>
      <c r="D76" s="2">
        <f>Vydacha!$H76</f>
        <v>0</v>
      </c>
      <c r="E76" s="2">
        <f>Vydacha!$I76</f>
        <v>0</v>
      </c>
      <c r="F76" s="3">
        <f>Vydacha!$J76</f>
        <v>0</v>
      </c>
      <c r="G76" s="4" t="str">
        <f>IF(Vydacha!$K76="","",Vydacha!$K76)</f>
        <v/>
      </c>
      <c r="H76" s="2"/>
    </row>
    <row r="77" spans="1:8" x14ac:dyDescent="0.3">
      <c r="A77" s="2" t="str">
        <f>IF(Vydacha!$A77="","",ROW()-1)</f>
        <v/>
      </c>
      <c r="B77" s="2">
        <f>Vydacha!$A77</f>
        <v>0</v>
      </c>
      <c r="C77" s="2" t="str">
        <f>Vydacha!$D77</f>
        <v/>
      </c>
      <c r="D77" s="2">
        <f>Vydacha!$H77</f>
        <v>0</v>
      </c>
      <c r="E77" s="2">
        <f>Vydacha!$I77</f>
        <v>0</v>
      </c>
      <c r="F77" s="3">
        <f>Vydacha!$J77</f>
        <v>0</v>
      </c>
      <c r="G77" s="4" t="str">
        <f>IF(Vydacha!$K77="","",Vydacha!$K77)</f>
        <v/>
      </c>
      <c r="H77" s="2"/>
    </row>
    <row r="78" spans="1:8" x14ac:dyDescent="0.3">
      <c r="A78" s="2" t="str">
        <f>IF(Vydacha!$A78="","",ROW()-1)</f>
        <v/>
      </c>
      <c r="B78" s="2">
        <f>Vydacha!$A78</f>
        <v>0</v>
      </c>
      <c r="C78" s="2" t="str">
        <f>Vydacha!$D78</f>
        <v/>
      </c>
      <c r="D78" s="2">
        <f>Vydacha!$H78</f>
        <v>0</v>
      </c>
      <c r="E78" s="2">
        <f>Vydacha!$I78</f>
        <v>0</v>
      </c>
      <c r="F78" s="3">
        <f>Vydacha!$J78</f>
        <v>0</v>
      </c>
      <c r="G78" s="4" t="str">
        <f>IF(Vydacha!$K78="","",Vydacha!$K78)</f>
        <v/>
      </c>
      <c r="H78" s="2"/>
    </row>
    <row r="79" spans="1:8" x14ac:dyDescent="0.3">
      <c r="A79" s="2" t="str">
        <f>IF(Vydacha!$A79="","",ROW()-1)</f>
        <v/>
      </c>
      <c r="B79" s="2">
        <f>Vydacha!$A79</f>
        <v>0</v>
      </c>
      <c r="C79" s="2" t="str">
        <f>Vydacha!$D79</f>
        <v/>
      </c>
      <c r="D79" s="2">
        <f>Vydacha!$H79</f>
        <v>0</v>
      </c>
      <c r="E79" s="2">
        <f>Vydacha!$I79</f>
        <v>0</v>
      </c>
      <c r="F79" s="3">
        <f>Vydacha!$J79</f>
        <v>0</v>
      </c>
      <c r="G79" s="4" t="str">
        <f>IF(Vydacha!$K79="","",Vydacha!$K79)</f>
        <v/>
      </c>
      <c r="H79" s="2"/>
    </row>
    <row r="80" spans="1:8" x14ac:dyDescent="0.3">
      <c r="A80" s="2" t="str">
        <f>IF(Vydacha!$A80="","",ROW()-1)</f>
        <v/>
      </c>
      <c r="B80" s="2">
        <f>Vydacha!$A80</f>
        <v>0</v>
      </c>
      <c r="C80" s="2" t="str">
        <f>Vydacha!$D80</f>
        <v/>
      </c>
      <c r="D80" s="2">
        <f>Vydacha!$H80</f>
        <v>0</v>
      </c>
      <c r="E80" s="2">
        <f>Vydacha!$I80</f>
        <v>0</v>
      </c>
      <c r="F80" s="3">
        <f>Vydacha!$J80</f>
        <v>0</v>
      </c>
      <c r="G80" s="4" t="str">
        <f>IF(Vydacha!$K80="","",Vydacha!$K80)</f>
        <v/>
      </c>
      <c r="H80" s="2"/>
    </row>
    <row r="81" spans="1:8" x14ac:dyDescent="0.3">
      <c r="A81" s="2" t="str">
        <f>IF(Vydacha!$A81="","",ROW()-1)</f>
        <v/>
      </c>
      <c r="B81" s="2">
        <f>Vydacha!$A81</f>
        <v>0</v>
      </c>
      <c r="C81" s="2" t="str">
        <f>Vydacha!$D81</f>
        <v/>
      </c>
      <c r="D81" s="2">
        <f>Vydacha!$H81</f>
        <v>0</v>
      </c>
      <c r="E81" s="2">
        <f>Vydacha!$I81</f>
        <v>0</v>
      </c>
      <c r="F81" s="3">
        <f>Vydacha!$J81</f>
        <v>0</v>
      </c>
      <c r="G81" s="4" t="str">
        <f>IF(Vydacha!$K81="","",Vydacha!$K81)</f>
        <v/>
      </c>
      <c r="H81" s="2"/>
    </row>
  </sheetData>
  <pageMargins left="0.39370078740157477" right="0.39370078740157477" top="0.59055118110236215" bottom="0.39370078740157477" header="0.3" footer="0.3"/>
  <pageSetup paperSize="9" scale="9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C1" t="s">
        <v>5</v>
      </c>
    </row>
    <row r="2" spans="1:3" x14ac:dyDescent="0.3">
      <c r="A2" t="s">
        <v>1</v>
      </c>
      <c r="C2" t="s">
        <v>6</v>
      </c>
    </row>
    <row r="3" spans="1:3" x14ac:dyDescent="0.3">
      <c r="A3" t="s">
        <v>2</v>
      </c>
      <c r="C3" t="s">
        <v>7</v>
      </c>
    </row>
    <row r="4" spans="1:3" x14ac:dyDescent="0.3">
      <c r="A4" t="s">
        <v>3</v>
      </c>
      <c r="C4" t="s">
        <v>8</v>
      </c>
    </row>
    <row r="5" spans="1:3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Spravochnik</vt:lpstr>
      <vt:lpstr>Vydacha</vt:lpstr>
      <vt:lpstr>Svodka</vt:lpstr>
      <vt:lpstr>Vedomost</vt:lpstr>
      <vt:lpstr>Lists</vt:lpstr>
      <vt:lpstr>CatList2</vt:lpstr>
      <vt:lpstr>StatusVydList</vt:lpstr>
      <vt:lpstr>Vedomost!Заголовки_для_печати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2026-07-07T07:02:45Z</dcterms:created>
  <dcterms:modified xsi:type="dcterms:W3CDTF">2026-07-07T07:02:55Z</dcterms:modified>
</cp:coreProperties>
</file>